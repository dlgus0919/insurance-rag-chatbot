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릴리스_체크" sheetId="1" state="visible" r:id="rId1"/>
    <sheet xmlns:r="http://schemas.openxmlformats.org/officeDocument/2006/relationships" name="판정_기준" sheetId="2" state="visible" r:id="rId2"/>
    <sheet xmlns:r="http://schemas.openxmlformats.org/officeDocument/2006/relationships" name="실행큐_75" sheetId="3" state="visible" r:id="rId3"/>
    <sheet xmlns:r="http://schemas.openxmlformats.org/officeDocument/2006/relationships" name="원본_76" sheetId="4" state="visible" r:id="rId4"/>
    <sheet xmlns:r="http://schemas.openxmlformats.org/officeDocument/2006/relationships" name="대화_연속성" sheetId="5" state="visible" r:id="rId5"/>
    <sheet xmlns:r="http://schemas.openxmlformats.org/officeDocument/2006/relationships" name="온톨로지_경계" sheetId="6" state="visible" r:id="rId6"/>
    <sheet xmlns:r="http://schemas.openxmlformats.org/officeDocument/2006/relationships" name="실행_대시보드" sheetId="7" state="visible" r:id="rId7"/>
  </sheets>
  <definedNames/>
  <calcPr calcId="124519" calcMode="auto" fullCalcOnLoad="1" forceFullCalc="1"/>
</workbook>
</file>

<file path=xl/styles.xml><?xml version="1.0" encoding="utf-8"?>
<styleSheet xmlns="http://schemas.openxmlformats.org/spreadsheetml/2006/main">
  <numFmts count="0"/>
  <fonts count="3">
    <font>
      <name val="Carlito"/>
      <sz val="11"/>
    </font>
    <font>
      <name val="Carlito"/>
      <b val="1"/>
      <color rgb="FFFFFFFF"/>
      <sz val="14"/>
    </font>
    <font>
      <name val="Carlito"/>
      <b val="1"/>
      <color rgb="FFFFFFFF"/>
      <sz val="11"/>
    </font>
  </fonts>
  <fills count="6">
    <fill>
      <patternFill/>
    </fill>
    <fill>
      <patternFill patternType="gray125"/>
    </fill>
    <fill>
      <patternFill patternType="solid">
        <fgColor rgb="FF0B2E59"/>
      </patternFill>
    </fill>
    <fill>
      <patternFill patternType="solid">
        <fgColor rgb="FF1D4ED8"/>
      </patternFill>
    </fill>
    <fill>
      <patternFill patternType="solid">
        <fgColor rgb="FFEFF6FF"/>
      </patternFill>
    </fill>
    <fill>
      <patternFill patternType="solid">
        <fgColor rgb="FFF8FAFC"/>
      </patternFill>
    </fill>
  </fills>
  <borders count="5">
    <border/>
    <border>
      <left style="thin">
        <color rgb="FFC7D2FE"/>
      </left>
      <right style="thin">
        <color rgb="FFC7D2FE"/>
      </right>
      <top style="thin">
        <color rgb="FFC7D2FE"/>
      </top>
      <bottom style="thin">
        <color rgb="FFC7D2FE"/>
      </bottom>
    </border>
    <border>
      <left style="thin">
        <color rgb="FFE5E7EB"/>
      </left>
      <right style="thin">
        <color rgb="FFE5E7EB"/>
      </right>
      <top style="thin">
        <color rgb="FFE5E7EB"/>
      </top>
      <bottom style="thin">
        <color rgb="FFE5E7EB"/>
      </bottom>
    </border>
    <border>
      <left style="thin">
        <color rgb="FFBFDBFE"/>
      </left>
      <right style="thin">
        <color rgb="FFBFDBFE"/>
      </right>
      <top style="thin">
        <color rgb="FFBFDBFE"/>
      </top>
      <bottom style="thin">
        <color rgb="FFBFDBFE"/>
      </bottom>
    </border>
    <border>
      <left style="thin">
        <color rgb="FFCBD5E1"/>
      </left>
      <right style="thin">
        <color rgb="FFCBD5E1"/>
      </right>
      <top style="thin">
        <color rgb="FFCBD5E1"/>
      </top>
      <bottom style="thin">
        <color rgb="FFCBD5E1"/>
      </bottom>
    </border>
  </borders>
  <cellStyleXfs count="1">
    <xf numFmtId="0" fontId="0" fillId="0" borderId="0"/>
  </cellStyleXfs>
  <cellXfs count="23">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3" borderId="0" pivotButton="0" quotePrefix="0" xfId="0"/>
    <xf numFmtId="0" fontId="2" fillId="3" borderId="0"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vertical="center" wrapText="1"/>
    </xf>
    <xf numFmtId="0" fontId="0" fillId="0" borderId="2" pivotButton="0" quotePrefix="0" xfId="0"/>
    <xf numFmtId="0" fontId="0" fillId="0" borderId="2" applyAlignment="1" pivotButton="0" quotePrefix="0" xfId="0">
      <alignment wrapText="1"/>
    </xf>
    <xf numFmtId="0" fontId="0" fillId="0" borderId="2" applyAlignment="1" pivotButton="0" quotePrefix="0" xfId="0">
      <alignment vertical="top" wrapText="1"/>
    </xf>
    <xf numFmtId="2" fontId="0" fillId="0" borderId="0" pivotButton="0" quotePrefix="0" xfId="0"/>
    <xf numFmtId="0" fontId="0" fillId="4" borderId="0" pivotButton="0" quotePrefix="0" xfId="0"/>
    <xf numFmtId="0" fontId="0" fillId="4" borderId="3" pivotButton="0" quotePrefix="0" xfId="0"/>
    <xf numFmtId="0" fontId="0" fillId="4" borderId="3" applyAlignment="1" pivotButton="0" quotePrefix="0" xfId="0">
      <alignment wrapText="1"/>
    </xf>
    <xf numFmtId="0" fontId="0" fillId="5" borderId="0" pivotButton="0" quotePrefix="0" xfId="0"/>
    <xf numFmtId="2" fontId="0" fillId="5" borderId="0" pivotButton="0" quotePrefix="0" xfId="0"/>
    <xf numFmtId="0" fontId="0" fillId="5" borderId="4" pivotButton="0" quotePrefix="0" xfId="0"/>
    <xf numFmtId="2" fontId="0" fillId="5" borderId="4" pivotButton="0" quotePrefix="0" xfId="0"/>
    <xf numFmtId="0" fontId="0" fillId="5" borderId="4" applyAlignment="1" pivotButton="0" quotePrefix="0" xfId="0">
      <alignment wrapText="1"/>
    </xf>
    <xf numFmtId="2" fontId="0" fillId="5" borderId="4" applyAlignment="1" pivotButton="0" quotePrefix="0" xfId="0">
      <alignment wrapText="1"/>
    </xf>
    <xf numFmtId="2" fontId="0" fillId="5" borderId="4" applyAlignment="1" pivotButton="0" quotePrefix="0" xfId="0">
      <alignment wrapText="1"/>
    </xf>
  </cellXfs>
  <cellStyles count="1">
    <cellStyle name="Normal" xfId="0"/>
  </cellStyles>
  <dxfs count="2">
    <dxf>
      <font>
        <b val="1"/>
        <color rgb="FF7F1D1D"/>
      </font>
      <fill>
        <patternFill patternType="solid">
          <bgColor rgb="FFFCA5A5"/>
        </patternFill>
      </fill>
    </dxf>
    <dxf>
      <font>
        <b val="1"/>
        <color rgb="FF14532D"/>
      </font>
      <fill>
        <patternFill patternType="solid">
          <bgColor rgb="FFBBF7D0"/>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Codex Planner</author>
  </authors>
  <commentList>
    <comment ref="S1" authorId="0" shapeId="0">
      <text>
        <t>응답 생성이 모두 끝난 뒤 실제 말풍선 안에 남은 최종 답변만 1~5점으로 평가합니다. 모델 내부 생각, 서버 로그, 스트리밍 중간 상태 문구는 평가 대상이 아닙니다.</t>
      </text>
    </comment>
    <comment ref="T1" authorId="0" shapeId="0">
      <text>
        <t>질문 이탈, 근거 불일치, 조건 누락, 답변 절단·중복, 내부 문구 노출 등 최종 표시 답변에서 관찰한 품질 근거를 기록합니다.</t>
      </text>
    </comment>
  </commentList>
</comments>
</file>

<file path=xl/tables/table1.xml><?xml version="1.0" encoding="utf-8"?>
<table xmlns="http://schemas.openxmlformats.org/spreadsheetml/2006/main" id="1" name="ExecutionQueueTable" displayName="ExecutionQueueTable" ref="A1:R76" headerRowCount="1" totalsRowCount="0" totalsRowShown="0">
  <tableColumns count="18">
    <tableColumn id="1" name="고유 No"/>
    <tableColumn id="2" name="실행 회차"/>
    <tableColumn id="3" name="case_id"/>
    <tableColumn id="4" name="우선순위"/>
    <tableColumn id="5" name="분류"/>
    <tableColumn id="6" name="문항 유형"/>
    <tableColumn id="7" name="질문"/>
    <tableColumn id="8" name="원본 세트"/>
    <tableColumn id="9" name="기존 점수/판정"/>
    <tableColumn id="10" name="기존 코멘트"/>
    <tableColumn id="11" name="필수 검증 초점"/>
    <tableColumn id="12" name="실제 답변"/>
    <tableColumn id="13" name="직접 출처·페이지"/>
    <tableColumn id="14" name="실무 점수"/>
    <tableColumn id="15" name="판정"/>
    <tableColumn id="16" name="결함 심각도"/>
    <tableColumn id="17" name="결함 ID"/>
    <tableColumn id="18" name="실무자 메모"/>
  </tableColumns>
  <tableStyleInfo name="TableStyleMedium2" showFirstColumn="0" showLastColumn="0" showRowStripes="1" showColumnStripes="0"/>
</table>
</file>

<file path=xl/tables/table2.xml><?xml version="1.0" encoding="utf-8"?>
<table xmlns="http://schemas.openxmlformats.org/spreadsheetml/2006/main" id="2" name="RawSource76Table" displayName="RawSource76Table" ref="A1:L77" headerRowCount="1" totalsRowCount="0" totalsRowShown="0">
  <tableColumns count="12">
    <tableColumn id="1" name="원본행"/>
    <tableColumn id="2" name="원본 세트"/>
    <tableColumn id="3" name="원본 순번"/>
    <tableColumn id="4" name="case_id"/>
    <tableColumn id="5" name="분류"/>
    <tableColumn id="6" name="문항 유형"/>
    <tableColumn id="7" name="질문"/>
    <tableColumn id="8" name="기존 실제/원래 답변"/>
    <tableColumn id="9" name="수정 답변"/>
    <tableColumn id="10" name="기존 점수"/>
    <tableColumn id="11" name="기존 판정"/>
    <tableColumn id="12" name="기존 코멘트"/>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24" customWidth="1" min="1" max="1"/>
    <col width="66" customWidth="1" min="2" max="2"/>
    <col width="16" customWidth="1" min="3" max="3"/>
    <col width="50" customWidth="1" min="4" max="4"/>
  </cols>
  <sheetData>
    <row r="1" ht="16.79999923706055" customHeight="1">
      <c r="A1" s="3" t="inlineStr">
        <is>
          <t>v1.2.0 실무자 UAT 릴리스 체크</t>
        </is>
      </c>
    </row>
    <row r="3" ht="15" customHeight="1">
      <c r="A3" s="8" t="inlineStr">
        <is>
          <t>항목</t>
        </is>
      </c>
      <c r="B3" s="8" t="inlineStr">
        <is>
          <t>값</t>
        </is>
      </c>
      <c r="C3" s="8" t="inlineStr">
        <is>
          <t>판정</t>
        </is>
      </c>
      <c r="D3" s="8" t="inlineStr">
        <is>
          <t>확인 메모</t>
        </is>
      </c>
    </row>
    <row r="4" ht="30" customHeight="1">
      <c r="A4" s="11" t="inlineStr">
        <is>
          <t>버전</t>
        </is>
      </c>
      <c r="B4" s="11" t="inlineStr">
        <is>
          <t>v1.2.0</t>
        </is>
      </c>
      <c r="C4" s="11" t="inlineStr">
        <is>
          <t>확인</t>
        </is>
      </c>
      <c r="D4" s="11" t="inlineStr">
        <is>
          <t>화면 표시와 Git tag가 모두 일치해야 함</t>
        </is>
      </c>
    </row>
    <row r="5" ht="30" customHeight="1">
      <c r="A5" s="11" t="inlineStr">
        <is>
          <t>운영 구현 기준 커밋</t>
        </is>
      </c>
      <c r="B5" s="11" t="inlineStr">
        <is>
          <t>ce078972f9529cbd1a31e344932bfc7f13092339</t>
        </is>
      </c>
      <c r="C5" s="11" t="inlineStr">
        <is>
          <t>확인</t>
        </is>
      </c>
      <c r="D5" s="11" t="inlineStr">
        <is>
          <t>v1.2.0 기능 구현 커밋이며 release tag의 ancestry에 포함되어야 함</t>
        </is>
      </c>
    </row>
    <row r="6" ht="30" customHeight="1">
      <c r="A6" s="11" t="inlineStr">
        <is>
          <t>Graph build id</t>
        </is>
      </c>
      <c r="B6" s="11" t="inlineStr">
        <is>
          <t>v1.2.0-general-ontology/2026-07-20T02:06:11.435316</t>
        </is>
      </c>
      <c r="C6" s="11" t="inlineStr">
        <is>
          <t>확인</t>
        </is>
      </c>
      <c r="D6" s="11" t="inlineStr">
        <is>
          <t>운영 manifest 및 DB 내부 manifest 일치</t>
        </is>
      </c>
    </row>
    <row r="7" ht="30" customHeight="1">
      <c r="A7" s="11" t="inlineStr">
        <is>
          <t>Graph SHA-256</t>
        </is>
      </c>
      <c r="B7" s="11" t="inlineStr">
        <is>
          <t>2b39c60cd5f8f9d936021a2bb2e1707928870719943cfad7932f81efa7aca9eb</t>
        </is>
      </c>
      <c r="C7" s="11" t="inlineStr">
        <is>
          <t>확인</t>
        </is>
      </c>
      <c r="D7" s="11" t="inlineStr">
        <is>
          <t>배포 후보 검증값과 운영값 일치</t>
        </is>
      </c>
    </row>
    <row r="8" ht="30" customHeight="1">
      <c r="A8" s="11" t="inlineStr">
        <is>
          <t>작성 시각</t>
        </is>
      </c>
      <c r="B8" s="11" t="inlineStr">
        <is>
          <t>2026-07-20 03:31:19 KST</t>
        </is>
      </c>
      <c r="C8" s="11" t="inlineStr">
        <is>
          <t>정보</t>
        </is>
      </c>
      <c r="D8" s="11" t="inlineStr">
        <is>
          <t>Asia/Seoul 기준 실행 시각 별도 기록</t>
        </is>
      </c>
    </row>
    <row r="9" ht="30" customHeight="1">
      <c r="A9" s="11" t="inlineStr">
        <is>
          <t>weak20 원본 XLSX hash</t>
        </is>
      </c>
      <c r="B9" s="11" t="inlineStr">
        <is>
          <t>61287aec54ace8c9012b880e9623f01a6c1e1723ac35cd6732cdfee67d8e7585</t>
        </is>
      </c>
      <c r="C9" s="11" t="inlineStr">
        <is>
          <t>불변 필수</t>
        </is>
      </c>
      <c r="D9" s="11" t="inlineStr">
        <is>
          <t>평가 원본 20행의 동일성 확인</t>
        </is>
      </c>
    </row>
    <row r="10" ht="30" customHeight="1">
      <c r="A10" s="11" t="inlineStr">
        <is>
          <t>추가56 원본 XLSX hash</t>
        </is>
      </c>
      <c r="B10" s="11" t="inlineStr">
        <is>
          <t>ec9e2c22b305101cf0c4490b53443a1f1a61c5e4d6bfbea13607d37b1f7f5d46</t>
        </is>
      </c>
      <c r="C10" s="11" t="inlineStr">
        <is>
          <t>불변 필수</t>
        </is>
      </c>
      <c r="D10" s="11" t="inlineStr">
        <is>
          <t>평가 원본 56행의 동일성 확인</t>
        </is>
      </c>
    </row>
    <row r="11" ht="30" customHeight="1">
      <c r="A11" s="11" t="inlineStr">
        <is>
          <t>활성 공제 규칙 hash</t>
        </is>
      </c>
      <c r="B11" s="11" t="inlineStr">
        <is>
          <t>ab4f75c34ad3e4e1859b7a299f403eb744df6cab8fee79907aee4367e3a2a818</t>
        </is>
      </c>
      <c r="C11" s="11" t="inlineStr">
        <is>
          <t>불변 필수</t>
        </is>
      </c>
      <c r="D11" s="11" t="inlineStr">
        <is>
          <t>기존 계산 규칙 변경 금지</t>
        </is>
      </c>
    </row>
    <row r="12" ht="30" customHeight="1">
      <c r="A12" s="11" t="inlineStr">
        <is>
          <t>활성 룰 연결 hash</t>
        </is>
      </c>
      <c r="B12" s="11" t="inlineStr">
        <is>
          <t>ab941d9ba6636e316f1e057d4cc388d7c99b1ce0cc1e89f4d54dd3f756ed26d9</t>
        </is>
      </c>
      <c r="C12" s="11" t="inlineStr">
        <is>
          <t>불변 필수</t>
        </is>
      </c>
      <c r="D12" s="11" t="inlineStr">
        <is>
          <t>기존 계산 규칙 변경 금지</t>
        </is>
      </c>
    </row>
    <row r="13" ht="30" customHeight="1">
      <c r="A13" s="11" t="inlineStr">
        <is>
          <t>계산 처리 정책 hash</t>
        </is>
      </c>
      <c r="B13" s="11" t="inlineStr">
        <is>
          <t>5a479a7020fccd7f62cdfc7327a9da339fbad1b1a29faedef4e10dd8489bf72f</t>
        </is>
      </c>
      <c r="C13" s="11" t="inlineStr">
        <is>
          <t>불변 필수</t>
        </is>
      </c>
      <c r="D13" s="11" t="inlineStr">
        <is>
          <t>기존 계산 정책 변경 금지</t>
        </is>
      </c>
    </row>
    <row r="14" ht="30" customHeight="1">
      <c r="A14" s="11" t="inlineStr">
        <is>
          <t>운영 LLM</t>
        </is>
      </c>
      <c r="B14" s="11" t="inlineStr">
        <is>
          <t>SGLang · Qwen3 Next 80B Instruct</t>
        </is>
      </c>
      <c r="C14" s="11" t="inlineStr">
        <is>
          <t>확인</t>
        </is>
      </c>
      <c r="D14" s="11" t="inlineStr">
        <is>
          <t>테스트 중 모델 중지·전환 금지</t>
        </is>
      </c>
    </row>
    <row r="15" ht="30" customHeight="1">
      <c r="A15" s="11" t="inlineStr">
        <is>
          <t>최종 말풍선 답변 품질 게이트</t>
        </is>
      </c>
      <c r="B15" s="11" t="inlineStr">
        <is>
          <t>추가됨</t>
        </is>
      </c>
      <c r="C15" s="11" t="inlineStr">
        <is>
          <t>평가 필수</t>
        </is>
      </c>
      <c r="D15" s="11" t="inlineStr">
        <is>
          <t>응답 완료 후 말풍선만 채점; 내부 생각·로그·중간 상태 제외</t>
        </is>
      </c>
    </row>
    <row r="16">
      <c r="A16" s="11" t="inlineStr">
        <is>
          <t>근거 배지 상호작용</t>
        </is>
      </c>
      <c r="B16" s="11" t="inlineStr">
        <is>
          <t>hover + click</t>
        </is>
      </c>
      <c r="C16" s="11" t="inlineStr">
        <is>
          <t>검증 필수</t>
        </is>
      </c>
      <c r="D16" s="11" t="inlineStr">
        <is>
          <t>hover 시 청크, click 시 인증된 원본 PDF의 해당 페이지를 새 탭/창으로 표시</t>
        </is>
      </c>
    </row>
  </sheetData>
  <mergeCells count="1">
    <mergeCell ref="A1:D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9"/>
  <sheetViews>
    <sheetView showGridLines="0" workbookViewId="0">
      <selection activeCell="A1" sqref="A1"/>
    </sheetView>
  </sheetViews>
  <sheetFormatPr baseColWidth="8" defaultRowHeight="15"/>
  <cols>
    <col width="28" customWidth="1" min="1" max="1"/>
    <col width="54" customWidth="1" min="2" max="2"/>
    <col width="36" customWidth="1" min="3" max="3"/>
    <col width="36" customWidth="1" min="4" max="4"/>
    <col width="36" customWidth="1" min="5" max="5"/>
    <col width="28" customWidth="1" min="6" max="6"/>
  </cols>
  <sheetData>
    <row r="1" ht="16.79999923706055" customHeight="1">
      <c r="A1" s="3" t="inlineStr">
        <is>
          <t>실무자 판정 기준 및 중단 규칙</t>
        </is>
      </c>
    </row>
    <row r="3" ht="15" customHeight="1">
      <c r="A3" s="8" t="inlineStr">
        <is>
          <t>구분</t>
        </is>
      </c>
      <c r="B3" s="8" t="inlineStr">
        <is>
          <t>기준</t>
        </is>
      </c>
      <c r="C3" s="8" t="inlineStr">
        <is>
          <t>필수 확인</t>
        </is>
      </c>
      <c r="D3" s="8" t="inlineStr">
        <is>
          <t>실패 예</t>
        </is>
      </c>
      <c r="E3" s="8" t="inlineStr">
        <is>
          <t>조치</t>
        </is>
      </c>
      <c r="F3" s="8" t="inlineStr">
        <is>
          <t>릴리스 게이트</t>
        </is>
      </c>
    </row>
    <row r="4" ht="15" customHeight="1">
      <c r="A4" s="11" t="inlineStr">
        <is>
          <t>5점</t>
        </is>
      </c>
      <c r="B4" s="11" t="inlineStr">
        <is>
          <t>직접 답변·정확한 근거·조건/예외 구분·불필요한 추정 없음</t>
        </is>
      </c>
      <c r="C4" s="11" t="inlineStr">
        <is>
          <t>질문 의도, 세대, 출처, 후속 질문</t>
        </is>
      </c>
      <c r="D4" s="11" t="inlineStr">
        <is>
          <t>없음</t>
        </is>
      </c>
      <c r="E4" s="11" t="inlineStr">
        <is>
          <t>PASS</t>
        </is>
      </c>
      <c r="F4" s="11" t="inlineStr">
        <is>
          <t>허용</t>
        </is>
      </c>
    </row>
    <row r="5" ht="15" customHeight="1">
      <c r="A5" s="11" t="inlineStr">
        <is>
          <t>4점</t>
        </is>
      </c>
      <c r="B5" s="11" t="inlineStr">
        <is>
          <t>핵심은 맞고 경미한 누락만 있음</t>
        </is>
      </c>
      <c r="C5" s="11" t="inlineStr">
        <is>
          <t>누락이 지급 판단을 바꾸지 않는지</t>
        </is>
      </c>
      <c r="D5" s="11" t="inlineStr">
        <is>
          <t>표현·가독성</t>
        </is>
      </c>
      <c r="E5" s="11" t="inlineStr">
        <is>
          <t>PASS 또는 P3</t>
        </is>
      </c>
      <c r="F5" s="11" t="inlineStr">
        <is>
          <t>허용</t>
        </is>
      </c>
    </row>
    <row r="6" ht="15" customHeight="1">
      <c r="A6" s="11" t="inlineStr">
        <is>
          <t>3점</t>
        </is>
      </c>
      <c r="B6" s="11" t="inlineStr">
        <is>
          <t>조건부 사용 가능하나 중요한 확인 또는 구분 누락</t>
        </is>
      </c>
      <c r="C6" s="11" t="inlineStr">
        <is>
          <t>오해 가능성</t>
        </is>
      </c>
      <c r="D6" s="11" t="inlineStr">
        <is>
          <t>세대 혼합 가능성</t>
        </is>
      </c>
      <c r="E6" s="11" t="inlineStr">
        <is>
          <t>CONDITIONAL/P2</t>
        </is>
      </c>
      <c r="F6" s="11" t="inlineStr">
        <is>
          <t>P0 사례에서는 불허</t>
        </is>
      </c>
    </row>
    <row r="7" ht="15" customHeight="1">
      <c r="A7" s="11" t="inlineStr">
        <is>
          <t>2점</t>
        </is>
      </c>
      <c r="B7" s="11" t="inlineStr">
        <is>
          <t>핵심 근거 일부 오류 또는 질문 이탈</t>
        </is>
      </c>
      <c r="C7" s="11" t="inlineStr">
        <is>
          <t>잘못된 업무처리 위험</t>
        </is>
      </c>
      <c r="D7" s="11" t="inlineStr">
        <is>
          <t>다른 조항 답변</t>
        </is>
      </c>
      <c r="E7" s="11" t="inlineStr">
        <is>
          <t>FAIL/P1</t>
        </is>
      </c>
      <c r="F7" s="11" t="inlineStr">
        <is>
          <t>불허</t>
        </is>
      </c>
    </row>
    <row r="8" ht="15" customHeight="1">
      <c r="A8" s="11" t="inlineStr">
        <is>
          <t>1점</t>
        </is>
      </c>
      <c r="B8" s="11" t="inlineStr">
        <is>
          <t>오답·근거 없는 확정·중대한 출처 혼합</t>
        </is>
      </c>
      <c r="C8" s="11" t="inlineStr">
        <is>
          <t>사용 금지</t>
        </is>
      </c>
      <c r="D8" s="11" t="inlineStr">
        <is>
          <t>지급 여부/금액 오판</t>
        </is>
      </c>
      <c r="E8" s="11" t="inlineStr">
        <is>
          <t>FAIL/P0</t>
        </is>
      </c>
      <c r="F8" s="11" t="inlineStr">
        <is>
          <t>불허</t>
        </is>
      </c>
    </row>
    <row r="9" ht="15" customHeight="1">
      <c r="A9" s="11" t="inlineStr">
        <is>
          <t>P0 중단</t>
        </is>
      </c>
      <c r="B9" s="11" t="inlineStr">
        <is>
          <t>운영 장애, 잘못된 지급 결론, 출처 권위 혼합, 거절 지식 재유입</t>
        </is>
      </c>
      <c r="C9" s="11" t="inlineStr">
        <is>
          <t>즉시 재현</t>
        </is>
      </c>
      <c r="D9" s="11" t="inlineStr">
        <is>
          <t>자사약관과 표준약관을 동일 출처로 단정</t>
        </is>
      </c>
      <c r="E9" s="11" t="inlineStr">
        <is>
          <t>테스트 중단 후 롤백 검토</t>
        </is>
      </c>
      <c r="F9" s="11" t="inlineStr">
        <is>
          <t>즉시 불허</t>
        </is>
      </c>
    </row>
    <row r="10" ht="15" customHeight="1">
      <c r="A10" s="11" t="inlineStr">
        <is>
          <t>통과 조건</t>
        </is>
      </c>
      <c r="B10" s="11" t="inlineStr">
        <is>
          <t>P0 큐 전건 4점 이상, 전체 평균 4.3 이상, 1~2점 0건</t>
        </is>
      </c>
      <c r="C10" s="11" t="inlineStr">
        <is>
          <t>64개 고유 문항 + 연속성 + 경계</t>
        </is>
      </c>
      <c r="D10" s="11" t="inlineStr">
        <is>
          <t>미실행/누락</t>
        </is>
      </c>
      <c r="E10" s="11" t="inlineStr">
        <is>
          <t>최종 보고</t>
        </is>
      </c>
      <c r="F10" s="11" t="inlineStr">
        <is>
          <t>모두 충족</t>
        </is>
      </c>
    </row>
    <row r="11" ht="16.79999923706055" customHeight="1">
      <c r="A11" s="3" t="inlineStr">
        <is>
          <t>일반 질의 최종 말풍선 답변 품질 기준</t>
        </is>
      </c>
    </row>
    <row r="13">
      <c r="A13" s="8" t="inlineStr">
        <is>
          <t>평가 대상</t>
        </is>
      </c>
      <c r="B13" s="8" t="inlineStr">
        <is>
          <t>응답 생성이 끝난 뒤 실제 말풍선 안에 남은 최종 답변만 평가</t>
        </is>
      </c>
      <c r="C13" s="8" t="inlineStr">
        <is>
          <t>모델 내부 생각·서버 로그·스트리밍 상태 문구는 완전히 제외</t>
        </is>
      </c>
      <c r="D13" s="8" t="inlineStr">
        <is>
          <t>내부 추론이 좋아 보인다는 이유로 최종 오답을 고평가</t>
        </is>
      </c>
      <c r="E13" s="8" t="inlineStr">
        <is>
          <t>말풍선 최종 표시만 다시 채점</t>
        </is>
      </c>
      <c r="F13" s="8" t="inlineStr">
        <is>
          <t>필수</t>
        </is>
      </c>
    </row>
    <row r="14">
      <c r="A14" s="8" t="inlineStr">
        <is>
          <t>질문 적합성·직접성</t>
        </is>
      </c>
      <c r="B14" s="8" t="inlineStr">
        <is>
          <t>사용자가 묻는 사항에 먼저 직접 답하고 다른 주제로 이탈하지 않음</t>
        </is>
      </c>
      <c r="C14" s="8" t="inlineStr">
        <is>
          <t>질문의 대상·세대·의도와 첫 결론이 일치</t>
        </is>
      </c>
      <c r="D14" s="8" t="inlineStr">
        <is>
          <t>청구서류 질문에 지급률을 답함</t>
        </is>
      </c>
      <c r="E14" s="8" t="inlineStr">
        <is>
          <t>점수 2 이하 및 결함 기록</t>
        </is>
      </c>
      <c r="F14" s="8" t="inlineStr">
        <is>
          <t>필수</t>
        </is>
      </c>
    </row>
    <row r="15">
      <c r="A15" s="8" t="inlineStr">
        <is>
          <t>사실 정확성·근거 일치</t>
        </is>
      </c>
      <c r="B15" s="8" t="inlineStr">
        <is>
          <t>말풍선의 결론·수치·용어가 실제 표시 근거와 모순되지 않음</t>
        </is>
      </c>
      <c r="C15" s="8" t="inlineStr">
        <is>
          <t>출처 권위, 페이지, 세대와 답변 내용 대조</t>
        </is>
      </c>
      <c r="D15" s="8" t="inlineStr">
        <is>
          <t>근거에 없는 지급 결론·금액·조건을 확정</t>
        </is>
      </c>
      <c r="E15" s="8" t="inlineStr">
        <is>
          <t>점수 1 및 P0 검토</t>
        </is>
      </c>
      <c r="F15" s="8" t="inlineStr">
        <is>
          <t>필수</t>
        </is>
      </c>
    </row>
    <row r="16">
      <c r="A16" s="8" t="inlineStr">
        <is>
          <t>조건·예외 완결성</t>
        </is>
      </c>
      <c r="B16" s="8" t="inlineStr">
        <is>
          <t>판단을 바꿀 핵심 조건·예외·추가 확인 사항을 빠뜨리지 않음</t>
        </is>
      </c>
      <c r="C16" s="8" t="inlineStr">
        <is>
          <t>급여/비급여, 입원/통원, 세대, 증빙 등 필요한 구분</t>
        </is>
      </c>
      <c r="D16" s="8" t="inlineStr">
        <is>
          <t>조건부 사안을 무조건 보상/면책으로 단정</t>
        </is>
      </c>
      <c r="E16" s="8" t="inlineStr">
        <is>
          <t>최대 3점</t>
        </is>
      </c>
      <c r="F16" s="8" t="inlineStr">
        <is>
          <t>필수</t>
        </is>
      </c>
    </row>
    <row r="17">
      <c r="A17" s="8" t="inlineStr">
        <is>
          <t>표시 완결성</t>
        </is>
      </c>
      <c r="B17" s="8" t="inlineStr">
        <is>
          <t>문장이 중간에 끊기거나 동일 내용이 중복되지 않고 답변이 끝까지 표시됨</t>
        </is>
      </c>
      <c r="C17" s="8" t="inlineStr">
        <is>
          <t>마지막 문장, 표·목록, 후속 질문까지 말풍선에서 확인</t>
        </is>
      </c>
      <c r="D17" s="8" t="inlineStr">
        <is>
          <t>답변 절단, 미완성 표, 반복 블록</t>
        </is>
      </c>
      <c r="E17" s="8" t="inlineStr">
        <is>
          <t>점수 2 이하 및 재현</t>
        </is>
      </c>
      <c r="F17" s="8" t="inlineStr">
        <is>
          <t>필수</t>
        </is>
      </c>
    </row>
    <row r="18">
      <c r="A18" s="8" t="inlineStr">
        <is>
          <t>실무 가독성·내부 문구 비노출</t>
        </is>
      </c>
      <c r="B18" s="8" t="inlineStr">
        <is>
          <t>실무자가 한 번에 이해할 수 있고 내부 태그·프롬프트·생각 문구가 노출되지 않음</t>
        </is>
      </c>
      <c r="C18" s="8" t="inlineStr">
        <is>
          <t>결론→근거→조건/다음 확인 순서와 자연스러운 한국어</t>
        </is>
      </c>
      <c r="D18" s="8" t="inlineStr">
        <is>
          <t>내부 route/tag, 사고 과정, 디버그 문구가 말풍선에 표시</t>
        </is>
      </c>
      <c r="E18" s="8" t="inlineStr">
        <is>
          <t>점수 1~2 및 P0 검토</t>
        </is>
      </c>
      <c r="F18" s="8" t="inlineStr">
        <is>
          <t>필수</t>
        </is>
      </c>
    </row>
    <row r="19">
      <c r="A19" s="8" t="inlineStr">
        <is>
          <t>말풍선 품질 게이트</t>
        </is>
      </c>
      <c r="B19" s="8" t="inlineStr">
        <is>
          <t>P0 전건 4점 이상, 전체 평균 4.3 이상, 1~2점 0건, 실행 후 미평가 0건</t>
        </is>
      </c>
      <c r="C19" s="8" t="inlineStr">
        <is>
          <t>실행큐 S열과 T열, 대시보드 말풍선 지표</t>
        </is>
      </c>
      <c r="D19" s="8" t="inlineStr">
        <is>
          <t>기존 종합 점수만 입력하고 최종 답변 점수를 비워 둠</t>
        </is>
      </c>
      <c r="E19" s="8" t="inlineStr">
        <is>
          <t>릴리스 판정 진행중 또는 불통과</t>
        </is>
      </c>
      <c r="F19" s="8" t="inlineStr">
        <is>
          <t>모두 충족</t>
        </is>
      </c>
    </row>
  </sheetData>
  <mergeCells count="2">
    <mergeCell ref="A11:F11"/>
    <mergeCell ref="A1:F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76"/>
  <sheetViews>
    <sheetView showGridLines="0" workbookViewId="0">
      <selection activeCell="A1" sqref="A1"/>
    </sheetView>
  </sheetViews>
  <sheetFormatPr baseColWidth="8" defaultRowHeight="15"/>
  <cols>
    <col width="14" customWidth="1" min="1" max="1"/>
    <col width="14" customWidth="1" min="2" max="2"/>
    <col width="28" customWidth="1" min="3" max="3"/>
    <col width="14" customWidth="1" min="4" max="4"/>
    <col width="24" customWidth="1" min="5" max="5"/>
    <col width="24" customWidth="1" min="6" max="6"/>
    <col width="70" customWidth="1" min="7" max="7"/>
    <col width="14" customWidth="1" min="8" max="8"/>
    <col width="38" customWidth="1" min="9" max="9"/>
    <col width="38" customWidth="1" min="10" max="10"/>
    <col width="56" customWidth="1" min="11" max="11"/>
    <col width="70" customWidth="1" min="12" max="12"/>
    <col width="70" customWidth="1" min="13" max="13"/>
    <col width="14" customWidth="1" min="14" max="14"/>
    <col width="14" customWidth="1" min="15" max="15"/>
    <col width="14" customWidth="1" min="16" max="16"/>
    <col width="14" customWidth="1" min="17" max="17"/>
    <col width="50" customWidth="1" min="18" max="18"/>
    <col width="24" customWidth="1" min="19" max="19"/>
    <col width="56" customWidth="1" min="20" max="20"/>
  </cols>
  <sheetData>
    <row r="1" ht="15" customHeight="1">
      <c r="A1" s="8" t="inlineStr">
        <is>
          <t>고유 No</t>
        </is>
      </c>
      <c r="B1" s="8" t="inlineStr">
        <is>
          <t>실행 회차</t>
        </is>
      </c>
      <c r="C1" s="8" t="inlineStr">
        <is>
          <t>case_id</t>
        </is>
      </c>
      <c r="D1" s="8" t="inlineStr">
        <is>
          <t>우선순위</t>
        </is>
      </c>
      <c r="E1" s="8" t="inlineStr">
        <is>
          <t>분류</t>
        </is>
      </c>
      <c r="F1" s="8" t="inlineStr">
        <is>
          <t>문항 유형</t>
        </is>
      </c>
      <c r="G1" s="8" t="inlineStr">
        <is>
          <t>질문</t>
        </is>
      </c>
      <c r="H1" s="8" t="inlineStr">
        <is>
          <t>원본 세트</t>
        </is>
      </c>
      <c r="I1" s="8" t="inlineStr">
        <is>
          <t>기존 점수/판정</t>
        </is>
      </c>
      <c r="J1" s="8" t="inlineStr">
        <is>
          <t>기존 코멘트</t>
        </is>
      </c>
      <c r="K1" s="8" t="inlineStr">
        <is>
          <t>필수 검증 초점</t>
        </is>
      </c>
      <c r="L1" s="8" t="inlineStr">
        <is>
          <t>실제 답변</t>
        </is>
      </c>
      <c r="M1" s="8" t="inlineStr">
        <is>
          <t>직접 출처·페이지</t>
        </is>
      </c>
      <c r="N1" s="8" t="inlineStr">
        <is>
          <t>실무 점수</t>
        </is>
      </c>
      <c r="O1" s="8" t="inlineStr">
        <is>
          <t>판정</t>
        </is>
      </c>
      <c r="P1" s="8" t="inlineStr">
        <is>
          <t>결함 심각도</t>
        </is>
      </c>
      <c r="Q1" s="8" t="inlineStr">
        <is>
          <t>결함 ID</t>
        </is>
      </c>
      <c r="R1" s="8" t="inlineStr">
        <is>
          <t>실무자 메모</t>
        </is>
      </c>
      <c r="S1" s="8" t="inlineStr">
        <is>
          <t>최종 말풍선 답변 점수</t>
        </is>
      </c>
      <c r="T1" s="8" t="inlineStr">
        <is>
          <t>최종 말풍선 품질 메모</t>
        </is>
      </c>
    </row>
    <row r="2" ht="26.39999961853027" customHeight="1">
      <c r="A2" s="11" t="n">
        <v>12</v>
      </c>
      <c r="B2" s="11" t="n">
        <v>1</v>
      </c>
      <c r="C2" s="11" t="inlineStr">
        <is>
          <t>expanded_20260615_120</t>
        </is>
      </c>
      <c r="D2" s="11" t="inlineStr">
        <is>
          <t>P0</t>
        </is>
      </c>
      <c r="E2" s="11" t="inlineStr">
        <is>
          <t>weak20 재승인</t>
        </is>
      </c>
      <c r="F2" s="11" t="inlineStr">
        <is>
          <t>실무 재승인</t>
        </is>
      </c>
      <c r="G2" s="11" t="inlineStr">
        <is>
          <t>자기공명영상진단(MRI/MRA)의 연간 보상한도는?</t>
        </is>
      </c>
      <c r="H2" s="11" t="inlineStr">
        <is>
          <t>weak20</t>
        </is>
      </c>
      <c r="I2" s="11" t="inlineStr">
        <is>
          <t>보류/회귀 유지</t>
        </is>
      </c>
      <c r="J2" s="11" t="inlineStr">
        <is>
          <t>4세대와 5세대(특약1, 특약2 분리하여)로 분리하여 설명이 필요힘.</t>
        </is>
      </c>
      <c r="K2" s="11" t="inlineStr">
        <is>
          <t>4세대 MRI/MRA와 5세대 특약1·특약2 기준을 혼합하지 않음</t>
        </is>
      </c>
      <c r="L2" s="11" t="str"/>
      <c r="M2" s="11" t="str"/>
      <c r="N2" s="11" t="str"/>
      <c r="O2" s="11" t="inlineStr">
        <is>
          <t>미실행</t>
        </is>
      </c>
      <c r="P2" s="11" t="str"/>
      <c r="Q2" s="11" t="str"/>
      <c r="R2" s="11" t="str"/>
      <c r="S2" s="11" t="n"/>
      <c r="T2" s="11" t="n"/>
    </row>
    <row r="3" ht="26.39999961853027" customHeight="1">
      <c r="A3" s="11" t="n">
        <v>12</v>
      </c>
      <c r="B3" s="11" t="n">
        <v>2</v>
      </c>
      <c r="C3" s="11" t="inlineStr">
        <is>
          <t>expanded_20260615_120</t>
        </is>
      </c>
      <c r="D3" s="11" t="inlineStr">
        <is>
          <t>P0</t>
        </is>
      </c>
      <c r="E3" s="11" t="inlineStr">
        <is>
          <t>weak20 재승인</t>
        </is>
      </c>
      <c r="F3" s="11" t="inlineStr">
        <is>
          <t>실무 재승인</t>
        </is>
      </c>
      <c r="G3" s="11" t="inlineStr">
        <is>
          <t>자기공명영상진단(MRI/MRA)의 연간 보상한도는?</t>
        </is>
      </c>
      <c r="H3" s="11" t="inlineStr">
        <is>
          <t>weak20</t>
        </is>
      </c>
      <c r="I3" s="11" t="inlineStr">
        <is>
          <t>보류/회귀 유지</t>
        </is>
      </c>
      <c r="J3" s="11" t="inlineStr">
        <is>
          <t>4세대와 5세대(특약1, 특약2 분리하여)로 분리하여 설명이 필요힘.</t>
        </is>
      </c>
      <c r="K3" s="11" t="inlineStr">
        <is>
          <t>4세대 MRI/MRA와 5세대 특약1·특약2 기준을 혼합하지 않음</t>
        </is>
      </c>
      <c r="L3" s="11" t="str"/>
      <c r="M3" s="11" t="str"/>
      <c r="N3" s="11" t="str"/>
      <c r="O3" s="11" t="inlineStr">
        <is>
          <t>미실행</t>
        </is>
      </c>
      <c r="P3" s="11" t="str"/>
      <c r="Q3" s="11" t="str"/>
      <c r="R3" s="11" t="str"/>
      <c r="S3" s="11" t="n"/>
      <c r="T3" s="11" t="n"/>
    </row>
    <row r="4" ht="26.39999961853027" customHeight="1">
      <c r="A4" s="11" t="n">
        <v>9</v>
      </c>
      <c r="B4" s="11" t="n">
        <v>1</v>
      </c>
      <c r="C4" s="11" t="inlineStr">
        <is>
          <t>new_20260702_014</t>
        </is>
      </c>
      <c r="D4" s="11" t="inlineStr">
        <is>
          <t>P0</t>
        </is>
      </c>
      <c r="E4" s="11" t="inlineStr">
        <is>
          <t>weak20 재승인</t>
        </is>
      </c>
      <c r="F4" s="11" t="inlineStr">
        <is>
          <t>실무 재승인</t>
        </is>
      </c>
      <c r="G4" s="11" t="inlineStr">
        <is>
          <t>보험금 청구서류를 접수한 뒤 회사는 원칙적으로 몇 영업일 이내에 보험금을 지급해야 하며, 조사·확인이 필요한 경우에는 어느 정도까지 걸릴 수 있는지 알려줘.</t>
        </is>
      </c>
      <c r="H4" s="11" t="inlineStr">
        <is>
          <t>weak20 + additional56</t>
        </is>
      </c>
      <c r="I4" s="11" t="inlineStr">
        <is>
          <t>1점 / 보류/회귀 유지</t>
        </is>
      </c>
      <c r="J4" s="11" t="inlineStr">
        <is>
          <t>답변 중에 짤린 부분이 있음. | 해당 내용은 약관상에 명확하게 규정된 내용이 있으나, 답변하지 못함.</t>
        </is>
      </c>
      <c r="K4" s="11" t="inlineStr">
        <is>
          <t>원칙적 지급기일과 조사 필요 시 안내를 누락·절단 없이 구분</t>
        </is>
      </c>
      <c r="L4" s="11" t="str"/>
      <c r="M4" s="11" t="str"/>
      <c r="N4" s="11" t="str"/>
      <c r="O4" s="11" t="inlineStr">
        <is>
          <t>미실행</t>
        </is>
      </c>
      <c r="P4" s="11" t="str"/>
      <c r="Q4" s="11" t="str"/>
      <c r="R4" s="11" t="str"/>
      <c r="S4" s="11" t="n"/>
      <c r="T4" s="11" t="n"/>
    </row>
    <row r="5" ht="26.39999961853027" customHeight="1">
      <c r="A5" s="11" t="n">
        <v>9</v>
      </c>
      <c r="B5" s="11" t="n">
        <v>2</v>
      </c>
      <c r="C5" s="11" t="inlineStr">
        <is>
          <t>new_20260702_014</t>
        </is>
      </c>
      <c r="D5" s="11" t="inlineStr">
        <is>
          <t>P0</t>
        </is>
      </c>
      <c r="E5" s="11" t="inlineStr">
        <is>
          <t>weak20 재승인</t>
        </is>
      </c>
      <c r="F5" s="11" t="inlineStr">
        <is>
          <t>실무 재승인</t>
        </is>
      </c>
      <c r="G5" s="11" t="inlineStr">
        <is>
          <t>보험금 청구서류를 접수한 뒤 회사는 원칙적으로 몇 영업일 이내에 보험금을 지급해야 하며, 조사·확인이 필요한 경우에는 어느 정도까지 걸릴 수 있는지 알려줘.</t>
        </is>
      </c>
      <c r="H5" s="11" t="inlineStr">
        <is>
          <t>weak20 + additional56</t>
        </is>
      </c>
      <c r="I5" s="11" t="inlineStr">
        <is>
          <t>1점 / 보류/회귀 유지</t>
        </is>
      </c>
      <c r="J5" s="11" t="inlineStr">
        <is>
          <t>답변 중에 짤린 부분이 있음. | 해당 내용은 약관상에 명확하게 규정된 내용이 있으나, 답변하지 못함.</t>
        </is>
      </c>
      <c r="K5" s="11" t="inlineStr">
        <is>
          <t>원칙적 지급기일과 조사 필요 시 안내를 누락·절단 없이 구분</t>
        </is>
      </c>
      <c r="L5" s="11" t="str"/>
      <c r="M5" s="11" t="str"/>
      <c r="N5" s="11" t="str"/>
      <c r="O5" s="11" t="inlineStr">
        <is>
          <t>미실행</t>
        </is>
      </c>
      <c r="P5" s="11" t="str"/>
      <c r="Q5" s="11" t="str"/>
      <c r="R5" s="11" t="str"/>
      <c r="S5" s="11" t="n"/>
      <c r="T5" s="11" t="n"/>
    </row>
    <row r="6" ht="39.59999847412109" customHeight="1">
      <c r="A6" s="11" t="n">
        <v>5</v>
      </c>
      <c r="B6" s="11" t="n">
        <v>1</v>
      </c>
      <c r="C6" s="11" t="inlineStr">
        <is>
          <t>new_20260702_015</t>
        </is>
      </c>
      <c r="D6" s="11" t="inlineStr">
        <is>
          <t>P0</t>
        </is>
      </c>
      <c r="E6" s="11" t="inlineStr">
        <is>
          <t>weak20 재승인</t>
        </is>
      </c>
      <c r="F6" s="11" t="inlineStr">
        <is>
          <t>실무 재승인</t>
        </is>
      </c>
      <c r="G6" s="11" t="inlineStr">
        <is>
          <t>소송 제기, 분쟁조정 신청, 수사기관 조사 때문에 보험금 지급사유 확인이 지연되는 경우 지급예정일 산정이 어떻게 달라지는지 설명해줘.</t>
        </is>
      </c>
      <c r="H6" s="11" t="inlineStr">
        <is>
          <t>weak20 + additional56</t>
        </is>
      </c>
      <c r="I6" s="11" t="inlineStr">
        <is>
          <t>2점 / 보류/회귀 유지</t>
        </is>
      </c>
      <c r="J6" s="11" t="inlineStr">
        <is>
          <t>원래답변이 품질이 더 높음. | 해외에서 발생한 사고도 같은 항목에 포함되어 있어서 언급해주면 품질이 올라갈 것으로 보임.</t>
        </is>
      </c>
      <c r="K6" s="11" t="inlineStr">
        <is>
          <t>소송·분쟁조정·수사·해외사고 등 지급예정일 산정 제외 사유를 직접 조항으로 설명</t>
        </is>
      </c>
      <c r="L6" s="11" t="str"/>
      <c r="M6" s="11" t="str"/>
      <c r="N6" s="11" t="str"/>
      <c r="O6" s="11" t="inlineStr">
        <is>
          <t>미실행</t>
        </is>
      </c>
      <c r="P6" s="11" t="str"/>
      <c r="Q6" s="11" t="str"/>
      <c r="R6" s="11" t="str"/>
      <c r="S6" s="11" t="n"/>
      <c r="T6" s="11" t="n"/>
    </row>
    <row r="7" ht="39.59999847412109" customHeight="1">
      <c r="A7" s="11" t="n">
        <v>5</v>
      </c>
      <c r="B7" s="11" t="n">
        <v>2</v>
      </c>
      <c r="C7" s="11" t="inlineStr">
        <is>
          <t>new_20260702_015</t>
        </is>
      </c>
      <c r="D7" s="11" t="inlineStr">
        <is>
          <t>P0</t>
        </is>
      </c>
      <c r="E7" s="11" t="inlineStr">
        <is>
          <t>weak20 재승인</t>
        </is>
      </c>
      <c r="F7" s="11" t="inlineStr">
        <is>
          <t>실무 재승인</t>
        </is>
      </c>
      <c r="G7" s="11" t="inlineStr">
        <is>
          <t>소송 제기, 분쟁조정 신청, 수사기관 조사 때문에 보험금 지급사유 확인이 지연되는 경우 지급예정일 산정이 어떻게 달라지는지 설명해줘.</t>
        </is>
      </c>
      <c r="H7" s="11" t="inlineStr">
        <is>
          <t>weak20 + additional56</t>
        </is>
      </c>
      <c r="I7" s="11" t="inlineStr">
        <is>
          <t>2점 / 보류/회귀 유지</t>
        </is>
      </c>
      <c r="J7" s="11" t="inlineStr">
        <is>
          <t>원래답변이 품질이 더 높음. | 해외에서 발생한 사고도 같은 항목에 포함되어 있어서 언급해주면 품질이 올라갈 것으로 보임.</t>
        </is>
      </c>
      <c r="K7" s="11" t="inlineStr">
        <is>
          <t>소송·분쟁조정·수사·해외사고 등 지급예정일 산정 제외 사유를 직접 조항으로 설명</t>
        </is>
      </c>
      <c r="L7" s="11" t="str"/>
      <c r="M7" s="11" t="str"/>
      <c r="N7" s="11" t="str"/>
      <c r="O7" s="11" t="inlineStr">
        <is>
          <t>미실행</t>
        </is>
      </c>
      <c r="P7" s="11" t="str"/>
      <c r="Q7" s="11" t="str"/>
      <c r="R7" s="11" t="str"/>
      <c r="S7" s="11" t="n"/>
      <c r="T7" s="11" t="n"/>
    </row>
    <row r="8" ht="79.19999694824219" customHeight="1">
      <c r="A8" s="11" t="n">
        <v>34</v>
      </c>
      <c r="B8" s="11" t="n">
        <v>1</v>
      </c>
      <c r="C8" s="11" t="inlineStr">
        <is>
          <t>new_20260702_016</t>
        </is>
      </c>
      <c r="D8" s="11" t="inlineStr">
        <is>
          <t>P0</t>
        </is>
      </c>
      <c r="E8" s="11" t="inlineStr">
        <is>
          <t>보험금 지급·청구</t>
        </is>
      </c>
      <c r="F8" s="11" t="inlineStr">
        <is>
          <t>패러프레이즈</t>
        </is>
      </c>
      <c r="G8" s="11" t="inlineStr">
        <is>
          <t>소액 보험금을 청구할 때 진단서 제출이 간소화될 수 있는지, 청구 전에 어떤 사항을 보험회사에 확인해야 하는지 핵심만 정리해줘.</t>
        </is>
      </c>
      <c r="H8" s="11" t="inlineStr">
        <is>
          <t>additional56</t>
        </is>
      </c>
      <c r="I8" s="11" t="inlineStr">
        <is>
          <t>1점</t>
        </is>
      </c>
      <c r="J8" s="11" t="inlineStr">
        <is>
          <t>이 질문은 약관에서 검색할 수 있는 내용이라기 보다는 회사에서 자체적으로 운영하는 방식에 따라 차이가 있으므로, "소액 보험금을 청구할 때 진단서 제출이 면제되는 등 청구서류가 간소화될 수 있습니다"라고 답변하기 보다는 그냥 알 수 없다는 식으로 답변하는게 나을 것 같음.</t>
        </is>
      </c>
      <c r="K8" s="11" t="inlineStr">
        <is>
          <t>원문 근거에 맞는 직접 답변, 출처 권위 유지, 불확실성의 명시</t>
        </is>
      </c>
      <c r="L8" s="11" t="str"/>
      <c r="M8" s="11" t="str"/>
      <c r="N8" s="11" t="str"/>
      <c r="O8" s="11" t="inlineStr">
        <is>
          <t>미실행</t>
        </is>
      </c>
      <c r="P8" s="11" t="str"/>
      <c r="Q8" s="11" t="str"/>
      <c r="R8" s="11" t="str"/>
      <c r="S8" s="11" t="n"/>
      <c r="T8" s="11" t="n"/>
    </row>
    <row r="9" ht="79.19999694824219" customHeight="1">
      <c r="A9" s="11" t="n">
        <v>34</v>
      </c>
      <c r="B9" s="11" t="n">
        <v>2</v>
      </c>
      <c r="C9" s="11" t="inlineStr">
        <is>
          <t>new_20260702_016</t>
        </is>
      </c>
      <c r="D9" s="11" t="inlineStr">
        <is>
          <t>P0</t>
        </is>
      </c>
      <c r="E9" s="11" t="inlineStr">
        <is>
          <t>보험금 지급·청구</t>
        </is>
      </c>
      <c r="F9" s="11" t="inlineStr">
        <is>
          <t>패러프레이즈</t>
        </is>
      </c>
      <c r="G9" s="11" t="inlineStr">
        <is>
          <t>소액 보험금을 청구할 때 진단서 제출이 간소화될 수 있는지, 청구 전에 어떤 사항을 보험회사에 확인해야 하는지 핵심만 정리해줘.</t>
        </is>
      </c>
      <c r="H9" s="11" t="inlineStr">
        <is>
          <t>additional56</t>
        </is>
      </c>
      <c r="I9" s="11" t="inlineStr">
        <is>
          <t>1점</t>
        </is>
      </c>
      <c r="J9" s="11" t="inlineStr">
        <is>
          <t>이 질문은 약관에서 검색할 수 있는 내용이라기 보다는 회사에서 자체적으로 운영하는 방식에 따라 차이가 있으므로, "소액 보험금을 청구할 때 진단서 제출이 면제되는 등 청구서류가 간소화될 수 있습니다"라고 답변하기 보다는 그냥 알 수 없다는 식으로 답변하는게 나을 것 같음.</t>
        </is>
      </c>
      <c r="K9" s="11" t="inlineStr">
        <is>
          <t>원문 근거에 맞는 직접 답변, 출처 권위 유지, 불확실성의 명시</t>
        </is>
      </c>
      <c r="L9" s="11" t="str"/>
      <c r="M9" s="11" t="str"/>
      <c r="N9" s="11" t="str"/>
      <c r="O9" s="11" t="inlineStr">
        <is>
          <t>미실행</t>
        </is>
      </c>
      <c r="P9" s="11" t="str"/>
      <c r="Q9" s="11" t="str"/>
      <c r="R9" s="11" t="str"/>
      <c r="S9" s="11" t="n"/>
      <c r="T9" s="11" t="n"/>
    </row>
    <row r="10" ht="39.59999847412109" customHeight="1">
      <c r="A10" s="11" t="n">
        <v>3</v>
      </c>
      <c r="B10" s="11" t="n">
        <v>1</v>
      </c>
      <c r="C10" s="11" t="inlineStr">
        <is>
          <t>new_20260702_019</t>
        </is>
      </c>
      <c r="D10" s="11" t="inlineStr">
        <is>
          <t>P0</t>
        </is>
      </c>
      <c r="E10" s="11" t="inlineStr">
        <is>
          <t>weak20 재승인</t>
        </is>
      </c>
      <c r="F10" s="11" t="inlineStr">
        <is>
          <t>실무 재승인</t>
        </is>
      </c>
      <c r="G10" s="11" t="inlineStr">
        <is>
          <t>통원, 입원, 수술 보험금 청구 시 필요한 확인서류가 어떻게 달라질 수 있는지 기본 제출서류 관점에서 설명해줘.</t>
        </is>
      </c>
      <c r="H10" s="11" t="inlineStr">
        <is>
          <t>weak20 + additional56</t>
        </is>
      </c>
      <c r="I10" s="11" t="inlineStr">
        <is>
          <t>1점 / 보류/회귀 유지</t>
        </is>
      </c>
      <c r="J10" s="11" t="inlineStr">
        <is>
          <t>청구서류 및 제출서류에 관한 질문인데, 보험금 지급 비율에 대한 답변을 하고 있음. | 물어본 내용과 전혀 다른 부분을 답변하고 있음.</t>
        </is>
      </c>
      <c r="K10" s="11" t="inlineStr">
        <is>
          <t>입원·통원·수술별 청구 확인서류를 답하고 지급률로 이탈하지 않음</t>
        </is>
      </c>
      <c r="L10" s="11" t="str"/>
      <c r="M10" s="11" t="str"/>
      <c r="N10" s="11" t="str"/>
      <c r="O10" s="11" t="inlineStr">
        <is>
          <t>미실행</t>
        </is>
      </c>
      <c r="P10" s="11" t="str"/>
      <c r="Q10" s="11" t="str"/>
      <c r="R10" s="11" t="str"/>
      <c r="S10" s="11" t="n"/>
      <c r="T10" s="11" t="n"/>
    </row>
    <row r="11" ht="39.59999847412109" customHeight="1">
      <c r="A11" s="11" t="n">
        <v>3</v>
      </c>
      <c r="B11" s="11" t="n">
        <v>2</v>
      </c>
      <c r="C11" s="11" t="inlineStr">
        <is>
          <t>new_20260702_019</t>
        </is>
      </c>
      <c r="D11" s="11" t="inlineStr">
        <is>
          <t>P0</t>
        </is>
      </c>
      <c r="E11" s="11" t="inlineStr">
        <is>
          <t>weak20 재승인</t>
        </is>
      </c>
      <c r="F11" s="11" t="inlineStr">
        <is>
          <t>실무 재승인</t>
        </is>
      </c>
      <c r="G11" s="11" t="inlineStr">
        <is>
          <t>통원, 입원, 수술 보험금 청구 시 필요한 확인서류가 어떻게 달라질 수 있는지 기본 제출서류 관점에서 설명해줘.</t>
        </is>
      </c>
      <c r="H11" s="11" t="inlineStr">
        <is>
          <t>weak20 + additional56</t>
        </is>
      </c>
      <c r="I11" s="11" t="inlineStr">
        <is>
          <t>1점 / 보류/회귀 유지</t>
        </is>
      </c>
      <c r="J11" s="11" t="inlineStr">
        <is>
          <t>청구서류 및 제출서류에 관한 질문인데, 보험금 지급 비율에 대한 답변을 하고 있음. | 물어본 내용과 전혀 다른 부분을 답변하고 있음.</t>
        </is>
      </c>
      <c r="K11" s="11" t="inlineStr">
        <is>
          <t>입원·통원·수술별 청구 확인서류를 답하고 지급률로 이탈하지 않음</t>
        </is>
      </c>
      <c r="L11" s="11" t="str"/>
      <c r="M11" s="11" t="str"/>
      <c r="N11" s="11" t="str"/>
      <c r="O11" s="11" t="inlineStr">
        <is>
          <t>미실행</t>
        </is>
      </c>
      <c r="P11" s="11" t="str"/>
      <c r="Q11" s="11" t="str"/>
      <c r="R11" s="11" t="str"/>
      <c r="S11" s="11" t="n"/>
      <c r="T11" s="11" t="n"/>
    </row>
    <row r="12" ht="132" customHeight="1">
      <c r="A12" s="11" t="n">
        <v>2</v>
      </c>
      <c r="B12" s="11" t="n">
        <v>1</v>
      </c>
      <c r="C12" s="11" t="inlineStr">
        <is>
          <t>new_20260702_021</t>
        </is>
      </c>
      <c r="D12" s="11" t="inlineStr">
        <is>
          <t>P0</t>
        </is>
      </c>
      <c r="E12" s="11" t="inlineStr">
        <is>
          <t>weak20 재승인</t>
        </is>
      </c>
      <c r="F12" s="11" t="inlineStr">
        <is>
          <t>실무 재승인</t>
        </is>
      </c>
      <c r="G12" s="11" t="inlineStr">
        <is>
          <t>상해 치료 후 한의원에서 피부재생 침치료를 받았고 진료비 전액이 비급여로 표시되었다. 한방의료비에 대한 실손 보상 가능성을 어떻게 안내해야 하나?</t>
        </is>
      </c>
      <c r="H12" s="11" t="inlineStr">
        <is>
          <t>weak20 + additional56</t>
        </is>
      </c>
      <c r="I12" s="11" t="inlineStr">
        <is>
          <t>1점 / 승인</t>
        </is>
      </c>
      <c r="J12" s="11" t="inlineStr">
        <is>
          <t>답변에서 실손의료보험 상품(2007년 6월 가입)이라고 명시되어 있는데, 프롬프트에 해당 내용이 없는데도 불구하고 입의로 답변함(아마 소비자 민원 사례집 내용을 기준으로 답변한 것 같음) 몇세대 상품인지를 기재해달라고 역질문을 하는 등의 방법을 고려해야 할 것으로 보임. | 답변에서 실손의료보험 상품(2007년 6월 가입)이라고 명시되어 있는데, 프롬프트에 해당 내용이 없는데도 불구하고 입의로 답변함(아마 소비자 민원 사례집 내용을 기준으로 답변한 것 같음) 몇세대 상품인지를 기재해달라고 역질문을 하는 등의 방법을 고려해야 할 것으로 보임.</t>
        </is>
      </c>
      <c r="K12" s="11" t="inlineStr">
        <is>
          <t>가입 세대·급여/비급여·치료 주체를 확인하며 임의 가입연도나 상품을 만들지 않음</t>
        </is>
      </c>
      <c r="L12" s="11" t="str"/>
      <c r="M12" s="11" t="str"/>
      <c r="N12" s="11" t="str"/>
      <c r="O12" s="11" t="inlineStr">
        <is>
          <t>미실행</t>
        </is>
      </c>
      <c r="P12" s="11" t="str"/>
      <c r="Q12" s="11" t="str"/>
      <c r="R12" s="11" t="str"/>
      <c r="S12" s="11" t="n"/>
      <c r="T12" s="11" t="n"/>
    </row>
    <row r="13" ht="132" customHeight="1">
      <c r="A13" s="11" t="n">
        <v>2</v>
      </c>
      <c r="B13" s="11" t="n">
        <v>2</v>
      </c>
      <c r="C13" s="11" t="inlineStr">
        <is>
          <t>new_20260702_021</t>
        </is>
      </c>
      <c r="D13" s="11" t="inlineStr">
        <is>
          <t>P0</t>
        </is>
      </c>
      <c r="E13" s="11" t="inlineStr">
        <is>
          <t>weak20 재승인</t>
        </is>
      </c>
      <c r="F13" s="11" t="inlineStr">
        <is>
          <t>실무 재승인</t>
        </is>
      </c>
      <c r="G13" s="11" t="inlineStr">
        <is>
          <t>상해 치료 후 한의원에서 피부재생 침치료를 받았고 진료비 전액이 비급여로 표시되었다. 한방의료비에 대한 실손 보상 가능성을 어떻게 안내해야 하나?</t>
        </is>
      </c>
      <c r="H13" s="11" t="inlineStr">
        <is>
          <t>weak20 + additional56</t>
        </is>
      </c>
      <c r="I13" s="11" t="inlineStr">
        <is>
          <t>1점 / 승인</t>
        </is>
      </c>
      <c r="J13" s="11" t="inlineStr">
        <is>
          <t>답변에서 실손의료보험 상품(2007년 6월 가입)이라고 명시되어 있는데, 프롬프트에 해당 내용이 없는데도 불구하고 입의로 답변함(아마 소비자 민원 사례집 내용을 기준으로 답변한 것 같음) 몇세대 상품인지를 기재해달라고 역질문을 하는 등의 방법을 고려해야 할 것으로 보임. | 답변에서 실손의료보험 상품(2007년 6월 가입)이라고 명시되어 있는데, 프롬프트에 해당 내용이 없는데도 불구하고 입의로 답변함(아마 소비자 민원 사례집 내용을 기준으로 답변한 것 같음) 몇세대 상품인지를 기재해달라고 역질문을 하는 등의 방법을 고려해야 할 것으로 보임.</t>
        </is>
      </c>
      <c r="K13" s="11" t="inlineStr">
        <is>
          <t>가입 세대·급여/비급여·치료 주체를 확인하며 임의 가입연도나 상품을 만들지 않음</t>
        </is>
      </c>
      <c r="L13" s="11" t="str"/>
      <c r="M13" s="11" t="str"/>
      <c r="N13" s="11" t="str"/>
      <c r="O13" s="11" t="inlineStr">
        <is>
          <t>미실행</t>
        </is>
      </c>
      <c r="P13" s="11" t="str"/>
      <c r="Q13" s="11" t="str"/>
      <c r="R13" s="11" t="str"/>
      <c r="S13" s="11" t="n"/>
      <c r="T13" s="11" t="n"/>
    </row>
    <row r="14" ht="66" customHeight="1">
      <c r="A14" s="11" t="n">
        <v>11</v>
      </c>
      <c r="B14" s="11" t="n">
        <v>1</v>
      </c>
      <c r="C14" s="11" t="inlineStr">
        <is>
          <t>new_20260702_022</t>
        </is>
      </c>
      <c r="D14" s="11" t="inlineStr">
        <is>
          <t>P0</t>
        </is>
      </c>
      <c r="E14" s="11" t="inlineStr">
        <is>
          <t>weak20 재승인</t>
        </is>
      </c>
      <c r="F14" s="11" t="inlineStr">
        <is>
          <t>실무 재승인</t>
        </is>
      </c>
      <c r="G14" s="11" t="inlineStr">
        <is>
          <t>치과질환 K00-K08로 치료받은 경우 질병통원과 질병입원에서 실손 보상 여부가 어떻게 달라질 수 있는지 설명해줘.</t>
        </is>
      </c>
      <c r="H14" s="11" t="inlineStr">
        <is>
          <t>weak20 + additional56</t>
        </is>
      </c>
      <c r="I14" s="11" t="inlineStr">
        <is>
          <t>1점 / 보류/회귀 유지</t>
        </is>
      </c>
      <c r="J14" s="11" t="inlineStr">
        <is>
          <t>틀린 답변임. 질병 통원이든 입원이든 급여에 한하여는 보상함. | 당사에서 판매하는 실손의료비 4세대, 5세대는 입원, 통원 관계없이 급여는 보상함. 답변의 내용은 표준화(2009.10) 이전 상품을 기준으로 답변한 것으로 보임.</t>
        </is>
      </c>
      <c r="K14" s="11" t="inlineStr">
        <is>
          <t>선택 세대 기준으로 K00-K08 급여 보장과 비급여 제외를 입원·통원에 맞게 구분</t>
        </is>
      </c>
      <c r="L14" s="11" t="str"/>
      <c r="M14" s="11" t="str"/>
      <c r="N14" s="11" t="str"/>
      <c r="O14" s="11" t="inlineStr">
        <is>
          <t>미실행</t>
        </is>
      </c>
      <c r="P14" s="11" t="str"/>
      <c r="Q14" s="11" t="str"/>
      <c r="R14" s="11" t="str"/>
      <c r="S14" s="11" t="n"/>
      <c r="T14" s="11" t="n"/>
    </row>
    <row r="15" ht="66" customHeight="1">
      <c r="A15" s="11" t="n">
        <v>11</v>
      </c>
      <c r="B15" s="11" t="n">
        <v>2</v>
      </c>
      <c r="C15" s="11" t="inlineStr">
        <is>
          <t>new_20260702_022</t>
        </is>
      </c>
      <c r="D15" s="11" t="inlineStr">
        <is>
          <t>P0</t>
        </is>
      </c>
      <c r="E15" s="11" t="inlineStr">
        <is>
          <t>weak20 재승인</t>
        </is>
      </c>
      <c r="F15" s="11" t="inlineStr">
        <is>
          <t>실무 재승인</t>
        </is>
      </c>
      <c r="G15" s="11" t="inlineStr">
        <is>
          <t>치과질환 K00-K08로 치료받은 경우 질병통원과 질병입원에서 실손 보상 여부가 어떻게 달라질 수 있는지 설명해줘.</t>
        </is>
      </c>
      <c r="H15" s="11" t="inlineStr">
        <is>
          <t>weak20 + additional56</t>
        </is>
      </c>
      <c r="I15" s="11" t="inlineStr">
        <is>
          <t>1점 / 보류/회귀 유지</t>
        </is>
      </c>
      <c r="J15" s="11" t="inlineStr">
        <is>
          <t>틀린 답변임. 질병 통원이든 입원이든 급여에 한하여는 보상함. | 당사에서 판매하는 실손의료비 4세대, 5세대는 입원, 통원 관계없이 급여는 보상함. 답변의 내용은 표준화(2009.10) 이전 상품을 기준으로 답변한 것으로 보임.</t>
        </is>
      </c>
      <c r="K15" s="11" t="inlineStr">
        <is>
          <t>선택 세대 기준으로 K00-K08 급여 보장과 비급여 제외를 입원·통원에 맞게 구분</t>
        </is>
      </c>
      <c r="L15" s="11" t="str"/>
      <c r="M15" s="11" t="str"/>
      <c r="N15" s="11" t="str"/>
      <c r="O15" s="11" t="inlineStr">
        <is>
          <t>미실행</t>
        </is>
      </c>
      <c r="P15" s="11" t="str"/>
      <c r="Q15" s="11" t="str"/>
      <c r="R15" s="11" t="str"/>
      <c r="S15" s="11" t="n"/>
      <c r="T15" s="11" t="n"/>
    </row>
    <row r="16" ht="52.79999923706055" customHeight="1">
      <c r="A16" s="11" t="n">
        <v>6</v>
      </c>
      <c r="B16" s="11" t="n">
        <v>1</v>
      </c>
      <c r="C16" s="11" t="inlineStr">
        <is>
          <t>new_20260702_023</t>
        </is>
      </c>
      <c r="D16" s="11" t="inlineStr">
        <is>
          <t>P0</t>
        </is>
      </c>
      <c r="E16" s="11" t="inlineStr">
        <is>
          <t>weak20 재승인</t>
        </is>
      </c>
      <c r="F16" s="11" t="inlineStr">
        <is>
          <t>실무 재승인</t>
        </is>
      </c>
      <c r="G16" s="11" t="inlineStr">
        <is>
          <t>미용 성형 목적 수술, 피임 목적 수술, 검사·진단 목적 수술이 수술급여금 지급대상에서 제외되는지 Claim 실무 기준으로 설명해줘.</t>
        </is>
      </c>
      <c r="H16" s="11" t="inlineStr">
        <is>
          <t>weak20 + additional56</t>
        </is>
      </c>
      <c r="I16" s="11" t="inlineStr">
        <is>
          <t>1점 / 승인</t>
        </is>
      </c>
      <c r="J16" s="11" t="inlineStr">
        <is>
          <t>틀린 답변이라고는 할 수 없지만, 약관상의 근거 등을 임의 요약없이 명시해줬으면 더 좋은 답변일 것이라 보임. | 틀린 답변이라고는 할 수 없지만, 약관상의 근거 등을 임의 요약없이 명시해줬으면 더 좋은 답변일 것이라 보임.</t>
        </is>
      </c>
      <c r="K16" s="11" t="inlineStr">
        <is>
          <t>원문 근거에 맞는 직접 답변, 출처 권위 유지, 불확실성의 명시</t>
        </is>
      </c>
      <c r="L16" s="11" t="str"/>
      <c r="M16" s="11" t="str"/>
      <c r="N16" s="11" t="str"/>
      <c r="O16" s="11" t="inlineStr">
        <is>
          <t>미실행</t>
        </is>
      </c>
      <c r="P16" s="11" t="str"/>
      <c r="Q16" s="11" t="str"/>
      <c r="R16" s="11" t="str"/>
      <c r="S16" s="11" t="n"/>
      <c r="T16" s="11" t="n"/>
    </row>
    <row r="17" ht="52.79999923706055" customHeight="1">
      <c r="A17" s="11" t="n">
        <v>6</v>
      </c>
      <c r="B17" s="11" t="n">
        <v>2</v>
      </c>
      <c r="C17" s="11" t="inlineStr">
        <is>
          <t>new_20260702_023</t>
        </is>
      </c>
      <c r="D17" s="11" t="inlineStr">
        <is>
          <t>P0</t>
        </is>
      </c>
      <c r="E17" s="11" t="inlineStr">
        <is>
          <t>weak20 재승인</t>
        </is>
      </c>
      <c r="F17" s="11" t="inlineStr">
        <is>
          <t>실무 재승인</t>
        </is>
      </c>
      <c r="G17" s="11" t="inlineStr">
        <is>
          <t>미용 성형 목적 수술, 피임 목적 수술, 검사·진단 목적 수술이 수술급여금 지급대상에서 제외되는지 Claim 실무 기준으로 설명해줘.</t>
        </is>
      </c>
      <c r="H17" s="11" t="inlineStr">
        <is>
          <t>weak20 + additional56</t>
        </is>
      </c>
      <c r="I17" s="11" t="inlineStr">
        <is>
          <t>1점 / 승인</t>
        </is>
      </c>
      <c r="J17" s="11" t="inlineStr">
        <is>
          <t>틀린 답변이라고는 할 수 없지만, 약관상의 근거 등을 임의 요약없이 명시해줬으면 더 좋은 답변일 것이라 보임. | 틀린 답변이라고는 할 수 없지만, 약관상의 근거 등을 임의 요약없이 명시해줬으면 더 좋은 답변일 것이라 보임.</t>
        </is>
      </c>
      <c r="K17" s="11" t="inlineStr">
        <is>
          <t>원문 근거에 맞는 직접 답변, 출처 권위 유지, 불확실성의 명시</t>
        </is>
      </c>
      <c r="L17" s="11" t="str"/>
      <c r="M17" s="11" t="str"/>
      <c r="N17" s="11" t="str"/>
      <c r="O17" s="11" t="inlineStr">
        <is>
          <t>미실행</t>
        </is>
      </c>
      <c r="P17" s="11" t="str"/>
      <c r="Q17" s="11" t="str"/>
      <c r="R17" s="11" t="str"/>
      <c r="S17" s="11" t="n"/>
      <c r="T17" s="11" t="n"/>
    </row>
    <row r="18" ht="184.8000030517578" customHeight="1">
      <c r="A18" s="11" t="n">
        <v>18</v>
      </c>
      <c r="B18" s="11" t="n">
        <v>1</v>
      </c>
      <c r="C18" s="11" t="inlineStr">
        <is>
          <t>new_20260702_024</t>
        </is>
      </c>
      <c r="D18" s="11" t="inlineStr">
        <is>
          <t>P0</t>
        </is>
      </c>
      <c r="E18" s="11" t="inlineStr">
        <is>
          <t>weak20 재승인</t>
        </is>
      </c>
      <c r="F18" s="11" t="inlineStr">
        <is>
          <t>실무 재승인</t>
        </is>
      </c>
      <c r="G18" s="11" t="inlineStr">
        <is>
          <t>자동차보험이나 산재보험에서 보상받는 의료비가 실손의료보험에서 다시 보상되는지 핵심만 정리해줘.</t>
        </is>
      </c>
      <c r="H18" s="11" t="inlineStr">
        <is>
          <t>weak20 + additional56</t>
        </is>
      </c>
      <c r="I18" s="11" t="inlineStr">
        <is>
          <t>1점 / 승인</t>
        </is>
      </c>
      <c r="J18" s="11" t="inlineStr">
        <is>
          <t>2016.01.01 이후 가입한 상품은 80%를 보상한다고 하는데 급여인지, 비급여인지 등에 대한 명시가 없음. 이 부분은 소비자민원사례집을 DB화 해서 인 것으로 보임. 이 내용은 당사 4세대, 5세대 약관을 근거로만 답변하도록 만들 수 있는지? 그리고 특정단어가 포함된 질문은 모든 DB를 검색하는 것이 아닌 미리 설정한 DB만 선택적으로 검색해서 답변할 수 있도록 만들 수 있는지? | 2016.01.01 이후 가입한 상품은 80%를 보상한다고 하는데 급여인지, 비급여인지 등에 대한 명시가 없음. 이 부분은 소비자민원사례집을 DB화 해서 인 것으로 보임. 이 내용은 당사 4세대, 5세대 약관을 근거로만 답변하도록 만들 수 있는지? 그리고 특정단어가 포함된 질문은 모든 DB를 검색하는 것이 아닌 미리 설정한 DB만 선택적으로 검색해서 답변할 수 있도록 만들 수 있는지?</t>
        </is>
      </c>
      <c r="K18" s="11" t="inlineStr">
        <is>
          <t>원문 근거에 맞는 직접 답변, 출처 권위 유지, 불확실성의 명시</t>
        </is>
      </c>
      <c r="L18" s="11" t="str"/>
      <c r="M18" s="11" t="str"/>
      <c r="N18" s="11" t="str"/>
      <c r="O18" s="11" t="inlineStr">
        <is>
          <t>미실행</t>
        </is>
      </c>
      <c r="P18" s="11" t="str"/>
      <c r="Q18" s="11" t="str"/>
      <c r="R18" s="11" t="str"/>
      <c r="S18" s="11" t="n"/>
      <c r="T18" s="11" t="n"/>
    </row>
    <row r="19" ht="184.8000030517578" customHeight="1">
      <c r="A19" s="11" t="n">
        <v>18</v>
      </c>
      <c r="B19" s="11" t="n">
        <v>2</v>
      </c>
      <c r="C19" s="11" t="inlineStr">
        <is>
          <t>new_20260702_024</t>
        </is>
      </c>
      <c r="D19" s="11" t="inlineStr">
        <is>
          <t>P0</t>
        </is>
      </c>
      <c r="E19" s="11" t="inlineStr">
        <is>
          <t>weak20 재승인</t>
        </is>
      </c>
      <c r="F19" s="11" t="inlineStr">
        <is>
          <t>실무 재승인</t>
        </is>
      </c>
      <c r="G19" s="11" t="inlineStr">
        <is>
          <t>자동차보험이나 산재보험에서 보상받는 의료비가 실손의료보험에서 다시 보상되는지 핵심만 정리해줘.</t>
        </is>
      </c>
      <c r="H19" s="11" t="inlineStr">
        <is>
          <t>weak20 + additional56</t>
        </is>
      </c>
      <c r="I19" s="11" t="inlineStr">
        <is>
          <t>1점 / 승인</t>
        </is>
      </c>
      <c r="J19" s="11" t="inlineStr">
        <is>
          <t>2016.01.01 이후 가입한 상품은 80%를 보상한다고 하는데 급여인지, 비급여인지 등에 대한 명시가 없음. 이 부분은 소비자민원사례집을 DB화 해서 인 것으로 보임. 이 내용은 당사 4세대, 5세대 약관을 근거로만 답변하도록 만들 수 있는지? 그리고 특정단어가 포함된 질문은 모든 DB를 검색하는 것이 아닌 미리 설정한 DB만 선택적으로 검색해서 답변할 수 있도록 만들 수 있는지? | 2016.01.01 이후 가입한 상품은 80%를 보상한다고 하는데 급여인지, 비급여인지 등에 대한 명시가 없음. 이 부분은 소비자민원사례집을 DB화 해서 인 것으로 보임. 이 내용은 당사 4세대, 5세대 약관을 근거로만 답변하도록 만들 수 있는지? 그리고 특정단어가 포함된 질문은 모든 DB를 검색하는 것이 아닌 미리 설정한 DB만 선택적으로 검색해서 답변할 수 있도록 만들 수 있는지?</t>
        </is>
      </c>
      <c r="K19" s="11" t="inlineStr">
        <is>
          <t>원문 근거에 맞는 직접 답변, 출처 권위 유지, 불확실성의 명시</t>
        </is>
      </c>
      <c r="L19" s="11" t="str"/>
      <c r="M19" s="11" t="str"/>
      <c r="N19" s="11" t="str"/>
      <c r="O19" s="11" t="inlineStr">
        <is>
          <t>미실행</t>
        </is>
      </c>
      <c r="P19" s="11" t="str"/>
      <c r="Q19" s="11" t="str"/>
      <c r="R19" s="11" t="str"/>
      <c r="S19" s="11" t="n"/>
      <c r="T19" s="11" t="n"/>
    </row>
    <row r="20" ht="92.40000152587891" customHeight="1">
      <c r="A20" s="11" t="n">
        <v>10</v>
      </c>
      <c r="B20" s="11" t="n">
        <v>1</v>
      </c>
      <c r="C20" s="11" t="inlineStr">
        <is>
          <t>new_20260702_025</t>
        </is>
      </c>
      <c r="D20" s="11" t="inlineStr">
        <is>
          <t>P0</t>
        </is>
      </c>
      <c r="E20" s="11" t="inlineStr">
        <is>
          <t>weak20 재승인</t>
        </is>
      </c>
      <c r="F20" s="11" t="inlineStr">
        <is>
          <t>실무 재승인</t>
        </is>
      </c>
      <c r="G20" s="11" t="inlineStr">
        <is>
          <t>외국에 있는 의료기관에서 발생한 치료비는 실손의료보험에서 보상되나?</t>
        </is>
      </c>
      <c r="H20" s="11" t="inlineStr">
        <is>
          <t>weak20 + additional56</t>
        </is>
      </c>
      <c r="I20" s="11" t="inlineStr">
        <is>
          <t>1점 / 승인</t>
        </is>
      </c>
      <c r="J20" s="11" t="inlineStr">
        <is>
          <t>답변 첫문장만 보면 여행자보험 실손의료비를 가입하지 않고, 일반 실비를 가입한 고객도,  해외여행 중 질병으로 해외 의료기관에서 치료를 받은 경우 예외적으로 보상된다고 오해할 수 있음. | 답변 첫문장만 보면 여행자보험 실손의료비를 가입하지 않고, 일반 실비를 가입한 고객도,  해외여행 중 질병으로 해외 의료기관에서 치료를 받은 경우 예외적으로 보상된다고 오해할 수 있음.</t>
        </is>
      </c>
      <c r="K20" s="11" t="inlineStr">
        <is>
          <t>일반 실손과 해외여행 실손을 혼합하지 않고 외국 의료기관 조항을 제한적으로 안내</t>
        </is>
      </c>
      <c r="L20" s="11" t="str"/>
      <c r="M20" s="11" t="str"/>
      <c r="N20" s="11" t="str"/>
      <c r="O20" s="11" t="inlineStr">
        <is>
          <t>미실행</t>
        </is>
      </c>
      <c r="P20" s="11" t="str"/>
      <c r="Q20" s="11" t="str"/>
      <c r="R20" s="11" t="str"/>
      <c r="S20" s="11" t="n"/>
      <c r="T20" s="11" t="n"/>
    </row>
    <row r="21" ht="92.40000152587891" customHeight="1">
      <c r="A21" s="11" t="n">
        <v>10</v>
      </c>
      <c r="B21" s="11" t="n">
        <v>2</v>
      </c>
      <c r="C21" s="11" t="inlineStr">
        <is>
          <t>new_20260702_025</t>
        </is>
      </c>
      <c r="D21" s="11" t="inlineStr">
        <is>
          <t>P0</t>
        </is>
      </c>
      <c r="E21" s="11" t="inlineStr">
        <is>
          <t>weak20 재승인</t>
        </is>
      </c>
      <c r="F21" s="11" t="inlineStr">
        <is>
          <t>실무 재승인</t>
        </is>
      </c>
      <c r="G21" s="11" t="inlineStr">
        <is>
          <t>외국에 있는 의료기관에서 발생한 치료비는 실손의료보험에서 보상되나?</t>
        </is>
      </c>
      <c r="H21" s="11" t="inlineStr">
        <is>
          <t>weak20 + additional56</t>
        </is>
      </c>
      <c r="I21" s="11" t="inlineStr">
        <is>
          <t>1점 / 승인</t>
        </is>
      </c>
      <c r="J21" s="11" t="inlineStr">
        <is>
          <t>답변 첫문장만 보면 여행자보험 실손의료비를 가입하지 않고, 일반 실비를 가입한 고객도,  해외여행 중 질병으로 해외 의료기관에서 치료를 받은 경우 예외적으로 보상된다고 오해할 수 있음. | 답변 첫문장만 보면 여행자보험 실손의료비를 가입하지 않고, 일반 실비를 가입한 고객도,  해외여행 중 질병으로 해외 의료기관에서 치료를 받은 경우 예외적으로 보상된다고 오해할 수 있음.</t>
        </is>
      </c>
      <c r="K21" s="11" t="inlineStr">
        <is>
          <t>일반 실손과 해외여행 실손을 혼합하지 않고 외국 의료기관 조항을 제한적으로 안내</t>
        </is>
      </c>
      <c r="L21" s="11" t="str"/>
      <c r="M21" s="11" t="str"/>
      <c r="N21" s="11" t="str"/>
      <c r="O21" s="11" t="inlineStr">
        <is>
          <t>미실행</t>
        </is>
      </c>
      <c r="P21" s="11" t="str"/>
      <c r="Q21" s="11" t="str"/>
      <c r="R21" s="11" t="str"/>
      <c r="S21" s="11" t="n"/>
      <c r="T21" s="11" t="n"/>
    </row>
    <row r="22" ht="39.59999847412109" customHeight="1">
      <c r="A22" s="11" t="n">
        <v>13</v>
      </c>
      <c r="B22" s="11" t="n">
        <v>1</v>
      </c>
      <c r="C22" s="11" t="inlineStr">
        <is>
          <t>new_20260702_030</t>
        </is>
      </c>
      <c r="D22" s="11" t="inlineStr">
        <is>
          <t>P0</t>
        </is>
      </c>
      <c r="E22" s="11" t="inlineStr">
        <is>
          <t>weak20 재승인</t>
        </is>
      </c>
      <c r="F22" s="11" t="inlineStr">
        <is>
          <t>실무 재승인</t>
        </is>
      </c>
      <c r="G22" s="11" t="inlineStr">
        <is>
          <t>2007년 개인실손, 2013년 개인실손, 2019년 단체실손에 모두 가입한 사람이 같은 의료비를 청구했다. 2016년 전후 산식 차이를 고려해 어떻게 판단해야 하는지 설명해줘.</t>
        </is>
      </c>
      <c r="H22" s="11" t="inlineStr">
        <is>
          <t>weak20 + additional56</t>
        </is>
      </c>
      <c r="I22" s="11" t="inlineStr">
        <is>
          <t>1점 / 조건부 승인</t>
        </is>
      </c>
      <c r="J22" s="11" t="inlineStr">
        <is>
          <t>예시가 없는게 더 나음. | 이전방식, 변경된 방식이라는 말만 있고, 그 방식이 무슨 방식인지에 대한 설명이 없음. 아마 DB의 한계인듯</t>
        </is>
      </c>
      <c r="K22" s="11" t="inlineStr">
        <is>
          <t>2016년 전후 다수보험 산식 차이를 근거 범위에서 설명하고 임의 금액 예시를 만들지 않음</t>
        </is>
      </c>
      <c r="L22" s="11" t="str"/>
      <c r="M22" s="11" t="str"/>
      <c r="N22" s="11" t="str"/>
      <c r="O22" s="11" t="inlineStr">
        <is>
          <t>미실행</t>
        </is>
      </c>
      <c r="P22" s="11" t="str"/>
      <c r="Q22" s="11" t="str"/>
      <c r="R22" s="11" t="str"/>
      <c r="S22" s="11" t="n"/>
      <c r="T22" s="11" t="n"/>
    </row>
    <row r="23" ht="39.59999847412109" customHeight="1">
      <c r="A23" s="11" t="n">
        <v>13</v>
      </c>
      <c r="B23" s="11" t="n">
        <v>2</v>
      </c>
      <c r="C23" s="11" t="inlineStr">
        <is>
          <t>new_20260702_030</t>
        </is>
      </c>
      <c r="D23" s="11" t="inlineStr">
        <is>
          <t>P0</t>
        </is>
      </c>
      <c r="E23" s="11" t="inlineStr">
        <is>
          <t>weak20 재승인</t>
        </is>
      </c>
      <c r="F23" s="11" t="inlineStr">
        <is>
          <t>실무 재승인</t>
        </is>
      </c>
      <c r="G23" s="11" t="inlineStr">
        <is>
          <t>2007년 개인실손, 2013년 개인실손, 2019년 단체실손에 모두 가입한 사람이 같은 의료비를 청구했다. 2016년 전후 산식 차이를 고려해 어떻게 판단해야 하는지 설명해줘.</t>
        </is>
      </c>
      <c r="H23" s="11" t="inlineStr">
        <is>
          <t>weak20 + additional56</t>
        </is>
      </c>
      <c r="I23" s="11" t="inlineStr">
        <is>
          <t>1점 / 조건부 승인</t>
        </is>
      </c>
      <c r="J23" s="11" t="inlineStr">
        <is>
          <t>예시가 없는게 더 나음. | 이전방식, 변경된 방식이라는 말만 있고, 그 방식이 무슨 방식인지에 대한 설명이 없음. 아마 DB의 한계인듯</t>
        </is>
      </c>
      <c r="K23" s="11" t="inlineStr">
        <is>
          <t>2016년 전후 다수보험 산식 차이를 근거 범위에서 설명하고 임의 금액 예시를 만들지 않음</t>
        </is>
      </c>
      <c r="L23" s="11" t="str"/>
      <c r="M23" s="11" t="str"/>
      <c r="N23" s="11" t="str"/>
      <c r="O23" s="11" t="inlineStr">
        <is>
          <t>미실행</t>
        </is>
      </c>
      <c r="P23" s="11" t="str"/>
      <c r="Q23" s="11" t="str"/>
      <c r="R23" s="11" t="str"/>
      <c r="S23" s="11" t="n"/>
      <c r="T23" s="11" t="n"/>
    </row>
    <row r="24" ht="26.39999961853027" customHeight="1">
      <c r="A24" s="11" t="n">
        <v>1</v>
      </c>
      <c r="B24" s="11" t="n">
        <v>1</v>
      </c>
      <c r="C24" s="11" t="inlineStr">
        <is>
          <t>expanded_20260615_001</t>
        </is>
      </c>
      <c r="D24" s="11" t="inlineStr">
        <is>
          <t>P1</t>
        </is>
      </c>
      <c r="E24" s="11" t="inlineStr">
        <is>
          <t>weak20 재승인</t>
        </is>
      </c>
      <c r="F24" s="11" t="inlineStr">
        <is>
          <t>실무 재승인</t>
        </is>
      </c>
      <c r="G24" s="11" t="inlineStr">
        <is>
          <t>상해보험계약 후 알릴의무(계약 후 알릴의무)의 대상이 되는 변경사항은 무엇인가에 대해 약관 기준으로 답변해줘.</t>
        </is>
      </c>
      <c r="H24" s="11" t="inlineStr">
        <is>
          <t>weak20</t>
        </is>
      </c>
      <c r="I24" s="11" t="inlineStr">
        <is>
          <t>승인</t>
        </is>
      </c>
      <c r="J24" s="11" t="str"/>
      <c r="K24" s="11" t="inlineStr">
        <is>
          <t>원문 근거에 맞는 직접 답변, 출처 권위 유지, 불확실성의 명시</t>
        </is>
      </c>
      <c r="L24" s="11" t="str"/>
      <c r="M24" s="11" t="str"/>
      <c r="N24" s="11" t="str"/>
      <c r="O24" s="11" t="inlineStr">
        <is>
          <t>미실행</t>
        </is>
      </c>
      <c r="P24" s="11" t="str"/>
      <c r="Q24" s="11" t="str"/>
      <c r="R24" s="11" t="str"/>
      <c r="S24" s="11" t="n"/>
      <c r="T24" s="11" t="n"/>
    </row>
    <row r="25" ht="26.39999961853027" customHeight="1">
      <c r="A25" s="11" t="n">
        <v>17</v>
      </c>
      <c r="B25" s="11" t="n">
        <v>1</v>
      </c>
      <c r="C25" s="11" t="inlineStr">
        <is>
          <t>expanded_20260615_041</t>
        </is>
      </c>
      <c r="D25" s="11" t="inlineStr">
        <is>
          <t>P1</t>
        </is>
      </c>
      <c r="E25" s="11" t="inlineStr">
        <is>
          <t>weak20 재승인</t>
        </is>
      </c>
      <c r="F25" s="11" t="inlineStr">
        <is>
          <t>실무 재승인</t>
        </is>
      </c>
      <c r="G25" s="11" t="inlineStr">
        <is>
          <t>고객센터 상담 중 고객이 "계약자가 제2회 이후 보험료를 미납했을 때 보험회사가 할 수 있는 것들은?"라고 물었다. 어떻게 안내해야 하나?</t>
        </is>
      </c>
      <c r="H25" s="11" t="inlineStr">
        <is>
          <t>weak20</t>
        </is>
      </c>
      <c r="I25" s="11" t="inlineStr">
        <is>
          <t>승인</t>
        </is>
      </c>
      <c r="J25" s="11" t="str"/>
      <c r="K25" s="11" t="inlineStr">
        <is>
          <t>원문 근거에 맞는 직접 답변, 출처 권위 유지, 불확실성의 명시</t>
        </is>
      </c>
      <c r="L25" s="11" t="str"/>
      <c r="M25" s="11" t="str"/>
      <c r="N25" s="11" t="str"/>
      <c r="O25" s="11" t="inlineStr">
        <is>
          <t>미실행</t>
        </is>
      </c>
      <c r="P25" s="11" t="str"/>
      <c r="Q25" s="11" t="str"/>
      <c r="R25" s="11" t="str"/>
      <c r="S25" s="11" t="n"/>
      <c r="T25" s="11" t="n"/>
    </row>
    <row r="26" ht="26.39999961853027" customHeight="1">
      <c r="A26" s="11" t="n">
        <v>7</v>
      </c>
      <c r="B26" s="11" t="n">
        <v>1</v>
      </c>
      <c r="C26" s="11" t="inlineStr">
        <is>
          <t>expanded_20260615_082</t>
        </is>
      </c>
      <c r="D26" s="11" t="inlineStr">
        <is>
          <t>P1</t>
        </is>
      </c>
      <c r="E26" s="11" t="inlineStr">
        <is>
          <t>weak20 재승인</t>
        </is>
      </c>
      <c r="F26" s="11" t="inlineStr">
        <is>
          <t>실무 재승인</t>
        </is>
      </c>
      <c r="G26" s="11" t="inlineStr">
        <is>
          <t>피보험자가 본인 사례에 적용하려고 한다. 급여(상해·질병) 입원치료의 자기부담금(공제) 비율에 대해 답해줘.</t>
        </is>
      </c>
      <c r="H26" s="11" t="inlineStr">
        <is>
          <t>weak20</t>
        </is>
      </c>
      <c r="I26" s="11" t="inlineStr">
        <is>
          <t>조건부 승인</t>
        </is>
      </c>
      <c r="J26" s="11" t="inlineStr">
        <is>
          <t>틀린 말은 아니나, 4세대의 경우와 5세대의 경우를 분리해서 설명해주면 답변 품질이 높아질 것 같음.</t>
        </is>
      </c>
      <c r="K26" s="11" t="inlineStr">
        <is>
          <t>4세대와 5세대 기준을 혼합하지 않음</t>
        </is>
      </c>
      <c r="L26" s="11" t="str"/>
      <c r="M26" s="11" t="str"/>
      <c r="N26" s="11" t="str"/>
      <c r="O26" s="11" t="inlineStr">
        <is>
          <t>미실행</t>
        </is>
      </c>
      <c r="P26" s="11" t="str"/>
      <c r="Q26" s="11" t="str"/>
      <c r="R26" s="11" t="str"/>
      <c r="S26" s="11" t="n"/>
      <c r="T26" s="11" t="n"/>
    </row>
    <row r="27" ht="26.39999961853027" customHeight="1">
      <c r="A27" s="11" t="n">
        <v>8</v>
      </c>
      <c r="B27" s="11" t="n">
        <v>1</v>
      </c>
      <c r="C27" s="11" t="inlineStr">
        <is>
          <t>expanded_20260615_083</t>
        </is>
      </c>
      <c r="D27" s="11" t="inlineStr">
        <is>
          <t>P1</t>
        </is>
      </c>
      <c r="E27" s="11" t="inlineStr">
        <is>
          <t>weak20 재승인</t>
        </is>
      </c>
      <c r="F27" s="11" t="inlineStr">
        <is>
          <t>실무 재승인</t>
        </is>
      </c>
      <c r="G27" s="11" t="inlineStr">
        <is>
          <t>급여 통원치료의 자기부담금은 어떻게 산정하나에 대해 약관 기준으로 답변해줘.</t>
        </is>
      </c>
      <c r="H27" s="11" t="inlineStr">
        <is>
          <t>weak20</t>
        </is>
      </c>
      <c r="I27" s="11" t="inlineStr">
        <is>
          <t>조건부 승인</t>
        </is>
      </c>
      <c r="J27" s="11" t="inlineStr">
        <is>
          <t>틀린 말은 아니나, 4세대의 경우와 5세대의 경우를 분리해서 설명해주면 답변 품질이 높아질 것 같음.</t>
        </is>
      </c>
      <c r="K27" s="11" t="inlineStr">
        <is>
          <t>4세대와 5세대 통원 공제 기준을 분리</t>
        </is>
      </c>
      <c r="L27" s="11" t="str"/>
      <c r="M27" s="11" t="str"/>
      <c r="N27" s="11" t="str"/>
      <c r="O27" s="11" t="inlineStr">
        <is>
          <t>미실행</t>
        </is>
      </c>
      <c r="P27" s="11" t="str"/>
      <c r="Q27" s="11" t="str"/>
      <c r="R27" s="11" t="str"/>
      <c r="S27" s="11" t="n"/>
      <c r="T27" s="11" t="n"/>
    </row>
    <row r="28" ht="26.39999961853027" customHeight="1">
      <c r="A28" s="11" t="n">
        <v>4</v>
      </c>
      <c r="B28" s="11" t="n">
        <v>1</v>
      </c>
      <c r="C28" s="11" t="inlineStr">
        <is>
          <t>expanded_20260615_099</t>
        </is>
      </c>
      <c r="D28" s="11" t="inlineStr">
        <is>
          <t>P1</t>
        </is>
      </c>
      <c r="E28" s="11" t="inlineStr">
        <is>
          <t>weak20 재승인</t>
        </is>
      </c>
      <c r="F28" s="11" t="inlineStr">
        <is>
          <t>실무 재승인</t>
        </is>
      </c>
      <c r="G28" s="11" t="inlineStr">
        <is>
          <t>급여 통원치료의 자기부담금은 어떻게 산정하나에 예외나 제한 조건이 있으면 같이 설명해줘.</t>
        </is>
      </c>
      <c r="H28" s="11" t="inlineStr">
        <is>
          <t>weak20</t>
        </is>
      </c>
      <c r="I28" s="11" t="inlineStr">
        <is>
          <t>조건부 승인</t>
        </is>
      </c>
      <c r="J28" s="11" t="inlineStr">
        <is>
          <t>틀린 말은 아니나, 4세대의 경우와 5세대의 경우를 분리해서 설명해주면 답변 품질이 높아질 것 같음.</t>
        </is>
      </c>
      <c r="K28" s="11" t="inlineStr">
        <is>
          <t>세대별 공제와 예외 조건을 분리</t>
        </is>
      </c>
      <c r="L28" s="11" t="str"/>
      <c r="M28" s="11" t="str"/>
      <c r="N28" s="11" t="str"/>
      <c r="O28" s="11" t="inlineStr">
        <is>
          <t>미실행</t>
        </is>
      </c>
      <c r="P28" s="11" t="str"/>
      <c r="Q28" s="11" t="str"/>
      <c r="R28" s="11" t="str"/>
      <c r="S28" s="11" t="n"/>
      <c r="T28" s="11" t="n"/>
    </row>
    <row r="29" ht="15" customHeight="1">
      <c r="A29" s="11" t="n">
        <v>14</v>
      </c>
      <c r="B29" s="11" t="n">
        <v>1</v>
      </c>
      <c r="C29" s="11" t="inlineStr">
        <is>
          <t>expanded_20260615_114</t>
        </is>
      </c>
      <c r="D29" s="11" t="inlineStr">
        <is>
          <t>P1</t>
        </is>
      </c>
      <c r="E29" s="11" t="inlineStr">
        <is>
          <t>weak20 재승인</t>
        </is>
      </c>
      <c r="F29" s="11" t="inlineStr">
        <is>
          <t>실무 재승인</t>
        </is>
      </c>
      <c r="G29" s="11" t="inlineStr">
        <is>
          <t>'3대 비급여' 치료에 해당하는 것은?</t>
        </is>
      </c>
      <c r="H29" s="11" t="inlineStr">
        <is>
          <t>weak20</t>
        </is>
      </c>
      <c r="I29" s="11" t="inlineStr">
        <is>
          <t>승인</t>
        </is>
      </c>
      <c r="J29" s="11" t="str"/>
      <c r="K29" s="11" t="inlineStr">
        <is>
          <t>원문 근거에 맞는 직접 답변, 출처 권위 유지, 불확실성의 명시</t>
        </is>
      </c>
      <c r="L29" s="11" t="str"/>
      <c r="M29" s="11" t="str"/>
      <c r="N29" s="11" t="str"/>
      <c r="O29" s="11" t="inlineStr">
        <is>
          <t>미실행</t>
        </is>
      </c>
      <c r="P29" s="11" t="str"/>
      <c r="Q29" s="11" t="str"/>
      <c r="R29" s="11" t="str"/>
      <c r="S29" s="11" t="n"/>
      <c r="T29" s="11" t="n"/>
    </row>
    <row r="30" ht="15" customHeight="1">
      <c r="A30" s="11" t="n">
        <v>19</v>
      </c>
      <c r="B30" s="11" t="n">
        <v>1</v>
      </c>
      <c r="C30" s="11" t="inlineStr">
        <is>
          <t>expanded_20260615_158</t>
        </is>
      </c>
      <c r="D30" s="11" t="inlineStr">
        <is>
          <t>P1</t>
        </is>
      </c>
      <c r="E30" s="11" t="inlineStr">
        <is>
          <t>weak20 재승인</t>
        </is>
      </c>
      <c r="F30" s="11" t="inlineStr">
        <is>
          <t>실무 재승인</t>
        </is>
      </c>
      <c r="G30" s="11" t="inlineStr">
        <is>
          <t>회사가 '중대사유'로 계약을 해지할 수 있는 경우에 예외나 제한 조건이 있으면 같이 설명해줘.</t>
        </is>
      </c>
      <c r="H30" s="11" t="inlineStr">
        <is>
          <t>weak20</t>
        </is>
      </c>
      <c r="I30" s="11" t="inlineStr">
        <is>
          <t>승인</t>
        </is>
      </c>
      <c r="J30" s="11" t="str"/>
      <c r="K30" s="11" t="inlineStr">
        <is>
          <t>원문 근거에 맞는 직접 답변, 출처 권위 유지, 불확실성의 명시</t>
        </is>
      </c>
      <c r="L30" s="11" t="str"/>
      <c r="M30" s="11" t="str"/>
      <c r="N30" s="11" t="str"/>
      <c r="O30" s="11" t="inlineStr">
        <is>
          <t>미실행</t>
        </is>
      </c>
      <c r="P30" s="11" t="str"/>
      <c r="Q30" s="11" t="str"/>
      <c r="R30" s="11" t="str"/>
      <c r="S30" s="11" t="n"/>
      <c r="T30" s="11" t="n"/>
    </row>
    <row r="31" ht="145.1999969482422" customHeight="1">
      <c r="A31" s="11" t="n">
        <v>20</v>
      </c>
      <c r="B31" s="11" t="n">
        <v>1</v>
      </c>
      <c r="C31" s="11" t="inlineStr">
        <is>
          <t>new_20260702_026</t>
        </is>
      </c>
      <c r="D31" s="11" t="inlineStr">
        <is>
          <t>P1</t>
        </is>
      </c>
      <c r="E31" s="11" t="inlineStr">
        <is>
          <t>weak20 재승인</t>
        </is>
      </c>
      <c r="F31" s="11" t="inlineStr">
        <is>
          <t>실무 재승인</t>
        </is>
      </c>
      <c r="G31" s="11" t="inlineStr">
        <is>
          <t>직전 2년 동안 무사고 판정기간에 비급여 보험금 지급실적이 없으면 보험료 할인이 적용될 수 있는지 약관 기준으로 설명해줘.</t>
        </is>
      </c>
      <c r="H31" s="11" t="inlineStr">
        <is>
          <t>weak20 + additional56</t>
        </is>
      </c>
      <c r="I31" s="11" t="inlineStr">
        <is>
          <t>승인</t>
        </is>
      </c>
      <c r="J31" s="11" t="inlineStr">
        <is>
          <t>주1) ( )은 직전 2년 무사고시 보험료 10%할인 추가 적용 기준 
약관상에는 위와 같이 나와있는데 "영업"보험료라는 말은 오해의 소지가 있음. 그리고 4대 중증질환 이라는 말보다는 산정특례 질환으로 지급된 비급여 보험금은 할증에 반영하지 않는다고 답하는 것이 더 적절함. | 주1) ( )은 직전 2년 무사고시 보험료 10%할인 추가 적용 기준 
약관상에는 위와 같이 나와있는데 "영업"보험료라는 말은 오해의 소지가 있음. 그리고 4대 중증질환 이라는 말보다는 산정특례 질환으로 지급된 비급여 보험금은 할증에 반영하지 않는다고 답하는 것이 더 적절함.</t>
        </is>
      </c>
      <c r="K31" s="11" t="inlineStr">
        <is>
          <t>무사고/무청구 할인과 비급여 보험료 차등제를 동일 개념으로 합치지 않음</t>
        </is>
      </c>
      <c r="L31" s="11" t="str"/>
      <c r="M31" s="11" t="str"/>
      <c r="N31" s="11" t="str"/>
      <c r="O31" s="11" t="inlineStr">
        <is>
          <t>미실행</t>
        </is>
      </c>
      <c r="P31" s="11" t="str"/>
      <c r="Q31" s="11" t="str"/>
      <c r="R31" s="11" t="str"/>
      <c r="S31" s="11" t="n"/>
      <c r="T31" s="11" t="n"/>
    </row>
    <row r="32" ht="26.39999961853027" customHeight="1">
      <c r="A32" s="11" t="n">
        <v>15</v>
      </c>
      <c r="B32" s="11" t="n">
        <v>1</v>
      </c>
      <c r="C32" s="11" t="inlineStr">
        <is>
          <t>new_20260702_027</t>
        </is>
      </c>
      <c r="D32" s="11" t="inlineStr">
        <is>
          <t>P1</t>
        </is>
      </c>
      <c r="E32" s="11" t="inlineStr">
        <is>
          <t>weak20 재승인</t>
        </is>
      </c>
      <c r="F32" s="11" t="inlineStr">
        <is>
          <t>실무 재승인</t>
        </is>
      </c>
      <c r="G32" s="11" t="inlineStr">
        <is>
          <t>4대 중증질환으로 인한 비급여 의료비 보험금이 무사고자 할인 판단에서 어떻게 취급되는지 제한 조건을 포함해 설명해줘.</t>
        </is>
      </c>
      <c r="H32" s="11" t="inlineStr">
        <is>
          <t>weak20 + additional56</t>
        </is>
      </c>
      <c r="I32" s="11" t="inlineStr">
        <is>
          <t>3점 / 승인</t>
        </is>
      </c>
      <c r="J32" s="11" t="inlineStr">
        <is>
          <t>틀린건 아니지만 아쉬움. 위 내용과 동일 | 틀린건 아니지만 아쉬움. 위 내용과 동일</t>
        </is>
      </c>
      <c r="K32" s="11" t="inlineStr">
        <is>
          <t>산정특례 질환 예외와 무사고 할인 판단의 제한 조건을 구분</t>
        </is>
      </c>
      <c r="L32" s="11" t="str"/>
      <c r="M32" s="11" t="str"/>
      <c r="N32" s="11" t="str"/>
      <c r="O32" s="11" t="inlineStr">
        <is>
          <t>미실행</t>
        </is>
      </c>
      <c r="P32" s="11" t="str"/>
      <c r="Q32" s="11" t="str"/>
      <c r="R32" s="11" t="str"/>
      <c r="S32" s="11" t="n"/>
      <c r="T32" s="11" t="n"/>
    </row>
    <row r="33" ht="26.39999961853027" customHeight="1">
      <c r="A33" s="11" t="n">
        <v>16</v>
      </c>
      <c r="B33" s="11" t="n">
        <v>1</v>
      </c>
      <c r="C33" s="11" t="inlineStr">
        <is>
          <t>new_20260702_047</t>
        </is>
      </c>
      <c r="D33" s="11" t="inlineStr">
        <is>
          <t>P1</t>
        </is>
      </c>
      <c r="E33" s="11" t="inlineStr">
        <is>
          <t>weak20 재승인</t>
        </is>
      </c>
      <c r="F33" s="11" t="inlineStr">
        <is>
          <t>실무 재승인</t>
        </is>
      </c>
      <c r="G33" s="11" t="inlineStr">
        <is>
          <t>감마나이프 수술처럼 입원하지 않고 수술을 받은 경우 입원의료비 지급 여부가 약관상 명확하지 않다. 약관해석 원칙상 어떤 방향으로 검토해야 하나?</t>
        </is>
      </c>
      <c r="H33" s="11" t="inlineStr">
        <is>
          <t>weak20 + additional56</t>
        </is>
      </c>
      <c r="I33" s="11" t="inlineStr">
        <is>
          <t>3점 / 조건부 승인</t>
        </is>
      </c>
      <c r="J33" s="11" t="inlineStr">
        <is>
          <t>이런 내용은 차라리 명확히 답변할 수 없다로 답하도록 규정 필요. | 설명하기 힘든 애매함.</t>
        </is>
      </c>
      <c r="K33" s="11" t="inlineStr">
        <is>
          <t>근거가 모호하면 확정 결론 대신 약관해석·추가 확인 경로를 제시</t>
        </is>
      </c>
      <c r="L33" s="11" t="str"/>
      <c r="M33" s="11" t="str"/>
      <c r="N33" s="11" t="str"/>
      <c r="O33" s="11" t="inlineStr">
        <is>
          <t>미실행</t>
        </is>
      </c>
      <c r="P33" s="11" t="str"/>
      <c r="Q33" s="11" t="str"/>
      <c r="R33" s="11" t="str"/>
      <c r="S33" s="11" t="n"/>
      <c r="T33" s="11" t="n"/>
    </row>
    <row r="34" ht="26.39999961853027" customHeight="1">
      <c r="A34" s="11" t="n">
        <v>21</v>
      </c>
      <c r="B34" s="11" t="n">
        <v>1</v>
      </c>
      <c r="C34" s="11" t="inlineStr">
        <is>
          <t>new_20260702_001</t>
        </is>
      </c>
      <c r="D34" s="11" t="inlineStr">
        <is>
          <t>P2</t>
        </is>
      </c>
      <c r="E34" s="11" t="inlineStr">
        <is>
          <t>계약 전·후 알릴의무</t>
        </is>
      </c>
      <c r="F34" s="11" t="inlineStr">
        <is>
          <t>상황형</t>
        </is>
      </c>
      <c r="G34" s="11" t="inlineStr">
        <is>
          <t>계약 성립 후 차량 구조를 변경한 사실을 설계사에게만 알렸고 보험회사에는 별도로 통지하지 않은 상태에서 사고가 발생했다. 계약 후 알릴의무 관점에서 보상 제한 여부를 설명해줘.</t>
        </is>
      </c>
      <c r="H34" s="11" t="inlineStr">
        <is>
          <t>additional56</t>
        </is>
      </c>
      <c r="I34" s="11" t="inlineStr">
        <is>
          <t>5점</t>
        </is>
      </c>
      <c r="J34" s="11" t="str"/>
      <c r="K34" s="11" t="inlineStr">
        <is>
          <t>원문 근거에 맞는 직접 답변, 출처 권위 유지, 불확실성의 명시</t>
        </is>
      </c>
      <c r="L34" s="11" t="str"/>
      <c r="M34" s="11" t="str"/>
      <c r="N34" s="11" t="str"/>
      <c r="O34" s="11" t="inlineStr">
        <is>
          <t>미실행</t>
        </is>
      </c>
      <c r="P34" s="11" t="str"/>
      <c r="Q34" s="11" t="str"/>
      <c r="R34" s="11" t="str"/>
      <c r="S34" s="11" t="n"/>
      <c r="T34" s="11" t="n"/>
    </row>
    <row r="35" ht="26.39999961853027" customHeight="1">
      <c r="A35" s="11" t="n">
        <v>22</v>
      </c>
      <c r="B35" s="11" t="n">
        <v>1</v>
      </c>
      <c r="C35" s="11" t="inlineStr">
        <is>
          <t>new_20260702_002</t>
        </is>
      </c>
      <c r="D35" s="11" t="inlineStr">
        <is>
          <t>P2</t>
        </is>
      </c>
      <c r="E35" s="11" t="inlineStr">
        <is>
          <t>계약 전·후 알릴의무</t>
        </is>
      </c>
      <c r="F35" s="11" t="inlineStr">
        <is>
          <t>상황형</t>
        </is>
      </c>
      <c r="G35" s="11" t="inlineStr">
        <is>
          <t>이륜차 운전자보험에 비유상운송 배달용으로 가입한 뒤 배달대행업체를 운영하며 유상운송 배달용으로 사용하게 되었는데 용도 변경을 알리지 않았다. 보험금 지급이 제한될 수 있는지 약관 기준으로 설명해줘.</t>
        </is>
      </c>
      <c r="H35" s="11" t="inlineStr">
        <is>
          <t>additional56</t>
        </is>
      </c>
      <c r="I35" s="11" t="inlineStr">
        <is>
          <t>5점</t>
        </is>
      </c>
      <c r="J35" s="11" t="str"/>
      <c r="K35" s="11" t="inlineStr">
        <is>
          <t>원문 근거에 맞는 직접 답변, 출처 권위 유지, 불확실성의 명시</t>
        </is>
      </c>
      <c r="L35" s="11" t="str"/>
      <c r="M35" s="11" t="str"/>
      <c r="N35" s="11" t="str"/>
      <c r="O35" s="11" t="inlineStr">
        <is>
          <t>미실행</t>
        </is>
      </c>
      <c r="P35" s="11" t="str"/>
      <c r="Q35" s="11" t="str"/>
      <c r="R35" s="11" t="str"/>
      <c r="S35" s="11" t="n"/>
      <c r="T35" s="11" t="n"/>
    </row>
    <row r="36" ht="26.39999961853027" customHeight="1">
      <c r="A36" s="11" t="n">
        <v>23</v>
      </c>
      <c r="B36" s="11" t="n">
        <v>1</v>
      </c>
      <c r="C36" s="11" t="inlineStr">
        <is>
          <t>new_20260702_003</t>
        </is>
      </c>
      <c r="D36" s="11" t="inlineStr">
        <is>
          <t>P2</t>
        </is>
      </c>
      <c r="E36" s="11" t="inlineStr">
        <is>
          <t>계약 전·후 알릴의무</t>
        </is>
      </c>
      <c r="F36" s="11" t="inlineStr">
        <is>
          <t>근거요구형</t>
        </is>
      </c>
      <c r="G36" s="11" t="inlineStr">
        <is>
          <t>청약 전 추가검사나 재검사를 받은 사실이 청약서 질문사항에 포함되는 경우 계약 전 알릴의무 대상인지 관련 근거와 함께 설명해줘.</t>
        </is>
      </c>
      <c r="H36" s="11" t="inlineStr">
        <is>
          <t>additional56</t>
        </is>
      </c>
      <c r="I36" s="11" t="inlineStr">
        <is>
          <t>5점</t>
        </is>
      </c>
      <c r="J36" s="11" t="str"/>
      <c r="K36" s="11" t="inlineStr">
        <is>
          <t>원문 근거에 맞는 직접 답변, 출처 권위 유지, 불확실성의 명시</t>
        </is>
      </c>
      <c r="L36" s="11" t="str"/>
      <c r="M36" s="11" t="str"/>
      <c r="N36" s="11" t="str"/>
      <c r="O36" s="11" t="inlineStr">
        <is>
          <t>미실행</t>
        </is>
      </c>
      <c r="P36" s="11" t="str"/>
      <c r="Q36" s="11" t="str"/>
      <c r="R36" s="11" t="str"/>
      <c r="S36" s="11" t="n"/>
      <c r="T36" s="11" t="n"/>
    </row>
    <row r="37" ht="26.39999961853027" customHeight="1">
      <c r="A37" s="11" t="n">
        <v>24</v>
      </c>
      <c r="B37" s="11" t="n">
        <v>1</v>
      </c>
      <c r="C37" s="11" t="inlineStr">
        <is>
          <t>new_20260702_004</t>
        </is>
      </c>
      <c r="D37" s="11" t="inlineStr">
        <is>
          <t>P2</t>
        </is>
      </c>
      <c r="E37" s="11" t="inlineStr">
        <is>
          <t>계약 성립·철회·무효</t>
        </is>
      </c>
      <c r="F37" s="11" t="inlineStr">
        <is>
          <t>근거요구형</t>
        </is>
      </c>
      <c r="G37" s="11" t="inlineStr">
        <is>
          <t>보험료를 납입한 즉시 보험기간이 시작되는지, 보험증권에 적힌 보험기간과 실제 보험료 지급 시점이 다를 때 어떤 기준으로 보아야 하는지 설명해줘.</t>
        </is>
      </c>
      <c r="H37" s="11" t="inlineStr">
        <is>
          <t>additional56</t>
        </is>
      </c>
      <c r="I37" s="11" t="inlineStr">
        <is>
          <t>5점</t>
        </is>
      </c>
      <c r="J37" s="11" t="str"/>
      <c r="K37" s="11" t="inlineStr">
        <is>
          <t>원문 근거에 맞는 직접 답변, 출처 권위 유지, 불확실성의 명시</t>
        </is>
      </c>
      <c r="L37" s="11" t="str"/>
      <c r="M37" s="11" t="str"/>
      <c r="N37" s="11" t="str"/>
      <c r="O37" s="11" t="inlineStr">
        <is>
          <t>미실행</t>
        </is>
      </c>
      <c r="P37" s="11" t="str"/>
      <c r="Q37" s="11" t="str"/>
      <c r="R37" s="11" t="str"/>
      <c r="S37" s="11" t="n"/>
      <c r="T37" s="11" t="n"/>
    </row>
    <row r="38" ht="26.39999961853027" customHeight="1">
      <c r="A38" s="11" t="n">
        <v>25</v>
      </c>
      <c r="B38" s="11" t="n">
        <v>1</v>
      </c>
      <c r="C38" s="11" t="inlineStr">
        <is>
          <t>new_20260702_005</t>
        </is>
      </c>
      <c r="D38" s="11" t="inlineStr">
        <is>
          <t>P2</t>
        </is>
      </c>
      <c r="E38" s="11" t="inlineStr">
        <is>
          <t>계약 성립·철회·무효</t>
        </is>
      </c>
      <c r="F38" s="11" t="inlineStr">
        <is>
          <t>상황형</t>
        </is>
      </c>
      <c r="G38" s="11" t="inlineStr">
        <is>
          <t>법인 명의로 가입한 기업성 영업배상책임보험을 이틀 뒤 청약철회하려고 한다. 전문금융소비자 여부를 포함해 청약철회 가능성을 설명해줘.</t>
        </is>
      </c>
      <c r="H38" s="11" t="inlineStr">
        <is>
          <t>additional56</t>
        </is>
      </c>
      <c r="I38" s="11" t="inlineStr">
        <is>
          <t>5점</t>
        </is>
      </c>
      <c r="J38" s="11" t="str"/>
      <c r="K38" s="11" t="inlineStr">
        <is>
          <t>원문 근거에 맞는 직접 답변, 출처 권위 유지, 불확실성의 명시</t>
        </is>
      </c>
      <c r="L38" s="11" t="str"/>
      <c r="M38" s="11" t="str"/>
      <c r="N38" s="11" t="str"/>
      <c r="O38" s="11" t="inlineStr">
        <is>
          <t>미실행</t>
        </is>
      </c>
      <c r="P38" s="11" t="str"/>
      <c r="Q38" s="11" t="str"/>
      <c r="R38" s="11" t="str"/>
      <c r="S38" s="11" t="n"/>
      <c r="T38" s="11" t="n"/>
    </row>
    <row r="39" ht="26.39999961853027" customHeight="1">
      <c r="A39" s="11" t="n">
        <v>26</v>
      </c>
      <c r="B39" s="11" t="n">
        <v>1</v>
      </c>
      <c r="C39" s="11" t="inlineStr">
        <is>
          <t>new_20260702_006</t>
        </is>
      </c>
      <c r="D39" s="11" t="inlineStr">
        <is>
          <t>P2</t>
        </is>
      </c>
      <c r="E39" s="11" t="inlineStr">
        <is>
          <t>계약 성립·철회·무효</t>
        </is>
      </c>
      <c r="F39" s="11" t="inlineStr">
        <is>
          <t>기한·한도확인형</t>
        </is>
      </c>
      <c r="G39" s="11" t="inlineStr">
        <is>
          <t>65세 이상 계약자가 전화로 체결한 보험계약의 청약철회 가능 기간을 일반 계약의 청약철회 기간과 비교해서 알려줘.</t>
        </is>
      </c>
      <c r="H39" s="11" t="inlineStr">
        <is>
          <t>additional56</t>
        </is>
      </c>
      <c r="I39" s="11" t="inlineStr">
        <is>
          <t>5점</t>
        </is>
      </c>
      <c r="J39" s="11" t="str"/>
      <c r="K39" s="11" t="inlineStr">
        <is>
          <t>원문 근거에 맞는 직접 답변, 출처 권위 유지, 불확실성의 명시</t>
        </is>
      </c>
      <c r="L39" s="11" t="str"/>
      <c r="M39" s="11" t="str"/>
      <c r="N39" s="11" t="str"/>
      <c r="O39" s="11" t="inlineStr">
        <is>
          <t>미실행</t>
        </is>
      </c>
      <c r="P39" s="11" t="str"/>
      <c r="Q39" s="11" t="str"/>
      <c r="R39" s="11" t="str"/>
      <c r="S39" s="11" t="n"/>
      <c r="T39" s="11" t="n"/>
    </row>
    <row r="40" ht="26.39999961853027" customHeight="1">
      <c r="A40" s="11" t="n">
        <v>27</v>
      </c>
      <c r="B40" s="11" t="n">
        <v>1</v>
      </c>
      <c r="C40" s="11" t="inlineStr">
        <is>
          <t>new_20260702_007</t>
        </is>
      </c>
      <c r="D40" s="11" t="inlineStr">
        <is>
          <t>P2</t>
        </is>
      </c>
      <c r="E40" s="11" t="inlineStr">
        <is>
          <t>계약 성립·철회·무효</t>
        </is>
      </c>
      <c r="F40" s="11" t="inlineStr">
        <is>
          <t>예외확인형</t>
        </is>
      </c>
      <c r="G40" s="11" t="inlineStr">
        <is>
          <t>청약철회 전에 이미 보험금 지급사유가 발생했지만 계약자가 그 사실을 몰랐던 경우에도 청약철회 효력이 발생하는지 설명해줘.</t>
        </is>
      </c>
      <c r="H40" s="11" t="inlineStr">
        <is>
          <t>additional56</t>
        </is>
      </c>
      <c r="I40" s="11" t="inlineStr">
        <is>
          <t>5점</t>
        </is>
      </c>
      <c r="J40" s="11" t="str"/>
      <c r="K40" s="11" t="inlineStr">
        <is>
          <t>원문 근거에 맞는 직접 답변, 출처 권위 유지, 불확실성의 명시</t>
        </is>
      </c>
      <c r="L40" s="11" t="str"/>
      <c r="M40" s="11" t="str"/>
      <c r="N40" s="11" t="str"/>
      <c r="O40" s="11" t="inlineStr">
        <is>
          <t>미실행</t>
        </is>
      </c>
      <c r="P40" s="11" t="str"/>
      <c r="Q40" s="11" t="str"/>
      <c r="R40" s="11" t="str"/>
      <c r="S40" s="11" t="n"/>
      <c r="T40" s="11" t="n"/>
    </row>
    <row r="41" ht="26.39999961853027" customHeight="1">
      <c r="A41" s="11" t="n">
        <v>28</v>
      </c>
      <c r="B41" s="11" t="n">
        <v>1</v>
      </c>
      <c r="C41" s="11" t="inlineStr">
        <is>
          <t>new_20260702_008</t>
        </is>
      </c>
      <c r="D41" s="11" t="inlineStr">
        <is>
          <t>P2</t>
        </is>
      </c>
      <c r="E41" s="11" t="inlineStr">
        <is>
          <t>계약 성립·철회·무효</t>
        </is>
      </c>
      <c r="F41" s="11" t="inlineStr">
        <is>
          <t>근거요구형</t>
        </is>
      </c>
      <c r="G41" s="11" t="inlineStr">
        <is>
          <t>보험나이를 계산할 때 6개월 미만과 6개월 이상의 끝수는 어떻게 처리하며, 실제 만나이를 적용하는 예외가 있는지 약관 근거로 설명해줘.</t>
        </is>
      </c>
      <c r="H41" s="11" t="inlineStr">
        <is>
          <t>additional56</t>
        </is>
      </c>
      <c r="I41" s="11" t="inlineStr">
        <is>
          <t>5점</t>
        </is>
      </c>
      <c r="J41" s="11" t="str"/>
      <c r="K41" s="11" t="inlineStr">
        <is>
          <t>원문 근거에 맞는 직접 답변, 출처 권위 유지, 불확실성의 명시</t>
        </is>
      </c>
      <c r="L41" s="11" t="str"/>
      <c r="M41" s="11" t="str"/>
      <c r="N41" s="11" t="str"/>
      <c r="O41" s="11" t="inlineStr">
        <is>
          <t>미실행</t>
        </is>
      </c>
      <c r="P41" s="11" t="str"/>
      <c r="Q41" s="11" t="str"/>
      <c r="R41" s="11" t="str"/>
      <c r="S41" s="11" t="n"/>
      <c r="T41" s="11" t="n"/>
    </row>
    <row r="42" ht="26.39999961853027" customHeight="1">
      <c r="A42" s="11" t="n">
        <v>29</v>
      </c>
      <c r="B42" s="11" t="n">
        <v>1</v>
      </c>
      <c r="C42" s="11" t="inlineStr">
        <is>
          <t>new_20260702_009</t>
        </is>
      </c>
      <c r="D42" s="11" t="inlineStr">
        <is>
          <t>P2</t>
        </is>
      </c>
      <c r="E42" s="11" t="inlineStr">
        <is>
          <t>보험료 납입·연체·부활</t>
        </is>
      </c>
      <c r="F42" s="11" t="inlineStr">
        <is>
          <t>근거요구형</t>
        </is>
      </c>
      <c r="G42" s="11" t="inlineStr">
        <is>
          <t>보험료 자동대출납입은 언제까지 신청할 수 있고, 신청되면 연체 중인 계약의 효력이 어떻게 유지되는지 설명해줘.</t>
        </is>
      </c>
      <c r="H42" s="11" t="inlineStr">
        <is>
          <t>additional56</t>
        </is>
      </c>
      <c r="I42" s="11" t="inlineStr">
        <is>
          <t>5점</t>
        </is>
      </c>
      <c r="J42" s="11" t="str"/>
      <c r="K42" s="11" t="inlineStr">
        <is>
          <t>원문 근거에 맞는 직접 답변, 출처 권위 유지, 불확실성의 명시</t>
        </is>
      </c>
      <c r="L42" s="11" t="str"/>
      <c r="M42" s="11" t="str"/>
      <c r="N42" s="11" t="str"/>
      <c r="O42" s="11" t="inlineStr">
        <is>
          <t>미실행</t>
        </is>
      </c>
      <c r="P42" s="11" t="str"/>
      <c r="Q42" s="11" t="str"/>
      <c r="R42" s="11" t="str"/>
      <c r="S42" s="11" t="n"/>
      <c r="T42" s="11" t="n"/>
    </row>
    <row r="43" ht="26.39999961853027" customHeight="1">
      <c r="A43" s="11" t="n">
        <v>30</v>
      </c>
      <c r="B43" s="11" t="n">
        <v>1</v>
      </c>
      <c r="C43" s="11" t="inlineStr">
        <is>
          <t>new_20260702_010</t>
        </is>
      </c>
      <c r="D43" s="11" t="inlineStr">
        <is>
          <t>P2</t>
        </is>
      </c>
      <c r="E43" s="11" t="inlineStr">
        <is>
          <t>보험료 납입·연체·부활</t>
        </is>
      </c>
      <c r="F43" s="11" t="inlineStr">
        <is>
          <t>예외확인형</t>
        </is>
      </c>
      <c r="G43" s="11" t="inlineStr">
        <is>
          <t>회사가 납입최고를 전자문서로 안내했지만 계약자가 수신하지 못한 경우 회사는 어떤 방식으로 다시 알려야 하는지 설명해줘.</t>
        </is>
      </c>
      <c r="H43" s="11" t="inlineStr">
        <is>
          <t>additional56</t>
        </is>
      </c>
      <c r="I43" s="11" t="inlineStr">
        <is>
          <t>5점</t>
        </is>
      </c>
      <c r="J43" s="11" t="str"/>
      <c r="K43" s="11" t="inlineStr">
        <is>
          <t>원문 근거에 맞는 직접 답변, 출처 권위 유지, 불확실성의 명시</t>
        </is>
      </c>
      <c r="L43" s="11" t="str"/>
      <c r="M43" s="11" t="str"/>
      <c r="N43" s="11" t="str"/>
      <c r="O43" s="11" t="inlineStr">
        <is>
          <t>미실행</t>
        </is>
      </c>
      <c r="P43" s="11" t="str"/>
      <c r="Q43" s="11" t="str"/>
      <c r="R43" s="11" t="str"/>
      <c r="S43" s="11" t="n"/>
      <c r="T43" s="11" t="n"/>
    </row>
    <row r="44" ht="26.39999961853027" customHeight="1">
      <c r="A44" s="11" t="n">
        <v>31</v>
      </c>
      <c r="B44" s="11" t="n">
        <v>1</v>
      </c>
      <c r="C44" s="11" t="inlineStr">
        <is>
          <t>new_20260702_011</t>
        </is>
      </c>
      <c r="D44" s="11" t="inlineStr">
        <is>
          <t>P2</t>
        </is>
      </c>
      <c r="E44" s="11" t="inlineStr">
        <is>
          <t>보험료 납입·연체·부활</t>
        </is>
      </c>
      <c r="F44" s="11" t="inlineStr">
        <is>
          <t>기한·한도확인형</t>
        </is>
      </c>
      <c r="G44" s="11" t="inlineStr">
        <is>
          <t>보험료 연체로 해지된 계약은 해지된 날부터 몇 년 이내에 부활을 청약할 수 있는지, 해약환급금이 없거나 대출로 차감된 경우도 포함되는지 알려줘.</t>
        </is>
      </c>
      <c r="H44" s="11" t="inlineStr">
        <is>
          <t>additional56</t>
        </is>
      </c>
      <c r="I44" s="11" t="inlineStr">
        <is>
          <t>5점</t>
        </is>
      </c>
      <c r="J44" s="11" t="str"/>
      <c r="K44" s="11" t="inlineStr">
        <is>
          <t>원문 근거에 맞는 직접 답변, 출처 권위 유지, 불확실성의 명시</t>
        </is>
      </c>
      <c r="L44" s="11" t="str"/>
      <c r="M44" s="11" t="str"/>
      <c r="N44" s="11" t="str"/>
      <c r="O44" s="11" t="inlineStr">
        <is>
          <t>미실행</t>
        </is>
      </c>
      <c r="P44" s="11" t="str"/>
      <c r="Q44" s="11" t="str"/>
      <c r="R44" s="11" t="str"/>
      <c r="S44" s="11" t="n"/>
      <c r="T44" s="11" t="n"/>
    </row>
    <row r="45" ht="26.39999961853027" customHeight="1">
      <c r="A45" s="11" t="n">
        <v>32</v>
      </c>
      <c r="B45" s="11" t="n">
        <v>1</v>
      </c>
      <c r="C45" s="11" t="inlineStr">
        <is>
          <t>new_20260702_012</t>
        </is>
      </c>
      <c r="D45" s="11" t="inlineStr">
        <is>
          <t>P2</t>
        </is>
      </c>
      <c r="E45" s="11" t="inlineStr">
        <is>
          <t>보험료 납입·연체·부활</t>
        </is>
      </c>
      <c r="F45" s="11" t="inlineStr">
        <is>
          <t>근거요구형</t>
        </is>
      </c>
      <c r="G45" s="11" t="inlineStr">
        <is>
          <t>부활을 신청할 때 연체보험료 외에 이자를 함께 납입해야 하는지, 회사가 건강상태나 직업을 이유로 승낙을 제한할 수 있는지 설명해줘.</t>
        </is>
      </c>
      <c r="H45" s="11" t="inlineStr">
        <is>
          <t>additional56</t>
        </is>
      </c>
      <c r="I45" s="11" t="inlineStr">
        <is>
          <t>5점</t>
        </is>
      </c>
      <c r="J45" s="11" t="str"/>
      <c r="K45" s="11" t="inlineStr">
        <is>
          <t>원문 근거에 맞는 직접 답변, 출처 권위 유지, 불확실성의 명시</t>
        </is>
      </c>
      <c r="L45" s="11" t="str"/>
      <c r="M45" s="11" t="str"/>
      <c r="N45" s="11" t="str"/>
      <c r="O45" s="11" t="inlineStr">
        <is>
          <t>미실행</t>
        </is>
      </c>
      <c r="P45" s="11" t="str"/>
      <c r="Q45" s="11" t="str"/>
      <c r="R45" s="11" t="str"/>
      <c r="S45" s="11" t="n"/>
      <c r="T45" s="11" t="n"/>
    </row>
    <row r="46" ht="26.39999961853027" customHeight="1">
      <c r="A46" s="11" t="n">
        <v>33</v>
      </c>
      <c r="B46" s="11" t="n">
        <v>1</v>
      </c>
      <c r="C46" s="11" t="inlineStr">
        <is>
          <t>new_20260702_013</t>
        </is>
      </c>
      <c r="D46" s="11" t="inlineStr">
        <is>
          <t>P2</t>
        </is>
      </c>
      <c r="E46" s="11" t="inlineStr">
        <is>
          <t>보험료 납입·연체·부활</t>
        </is>
      </c>
      <c r="F46" s="11" t="inlineStr">
        <is>
          <t>상황형</t>
        </is>
      </c>
      <c r="G46" s="11" t="inlineStr">
        <is>
          <t>납입최고 기간 중 보험사고가 발생했지만 기간 종료일까지 보험료가 납입되지 않아 계약이 해지되었다. 해지 전에 발생한 보험금 지급사유는 보상되는지 설명해줘.</t>
        </is>
      </c>
      <c r="H46" s="11" t="inlineStr">
        <is>
          <t>additional56</t>
        </is>
      </c>
      <c r="I46" s="11" t="inlineStr">
        <is>
          <t>5점</t>
        </is>
      </c>
      <c r="J46" s="11" t="str"/>
      <c r="K46" s="11" t="inlineStr">
        <is>
          <t>원문 근거에 맞는 직접 답변, 출처 권위 유지, 불확실성의 명시</t>
        </is>
      </c>
      <c r="L46" s="11" t="str"/>
      <c r="M46" s="11" t="str"/>
      <c r="N46" s="11" t="str"/>
      <c r="O46" s="11" t="inlineStr">
        <is>
          <t>미실행</t>
        </is>
      </c>
      <c r="P46" s="11" t="str"/>
      <c r="Q46" s="11" t="str"/>
      <c r="R46" s="11" t="str"/>
      <c r="S46" s="11" t="n"/>
      <c r="T46" s="11" t="n"/>
    </row>
    <row r="47" ht="26.39999961853027" customHeight="1">
      <c r="A47" s="11" t="n">
        <v>35</v>
      </c>
      <c r="B47" s="11" t="n">
        <v>1</v>
      </c>
      <c r="C47" s="11" t="inlineStr">
        <is>
          <t>new_20260702_017</t>
        </is>
      </c>
      <c r="D47" s="11" t="inlineStr">
        <is>
          <t>P2</t>
        </is>
      </c>
      <c r="E47" s="11" t="inlineStr">
        <is>
          <t>보험금 지급·청구</t>
        </is>
      </c>
      <c r="F47" s="11" t="inlineStr">
        <is>
          <t>근거요구형</t>
        </is>
      </c>
      <c r="G47" s="11" t="inlineStr">
        <is>
          <t>보험금 지급사유가 발생했을 때 계약자, 피보험자 또는 보험수익자는 누구에게 통지해야 하는지 조문 근거와 함께 설명해줘.</t>
        </is>
      </c>
      <c r="H47" s="11" t="inlineStr">
        <is>
          <t>additional56</t>
        </is>
      </c>
      <c r="I47" s="11" t="inlineStr">
        <is>
          <t>5점</t>
        </is>
      </c>
      <c r="J47" s="11" t="str"/>
      <c r="K47" s="11" t="inlineStr">
        <is>
          <t>원문 근거에 맞는 직접 답변, 출처 권위 유지, 불확실성의 명시</t>
        </is>
      </c>
      <c r="L47" s="11" t="str"/>
      <c r="M47" s="11" t="str"/>
      <c r="N47" s="11" t="str"/>
      <c r="O47" s="11" t="inlineStr">
        <is>
          <t>미실행</t>
        </is>
      </c>
      <c r="P47" s="11" t="str"/>
      <c r="Q47" s="11" t="str"/>
      <c r="R47" s="11" t="str"/>
      <c r="S47" s="11" t="n"/>
      <c r="T47" s="11" t="n"/>
    </row>
    <row r="48" ht="39.59999847412109" customHeight="1">
      <c r="A48" s="11" t="n">
        <v>36</v>
      </c>
      <c r="B48" s="11" t="n">
        <v>1</v>
      </c>
      <c r="C48" s="11" t="inlineStr">
        <is>
          <t>new_20260702_018</t>
        </is>
      </c>
      <c r="D48" s="11" t="inlineStr">
        <is>
          <t>P2</t>
        </is>
      </c>
      <c r="E48" s="11" t="inlineStr">
        <is>
          <t>보험금 지급·청구</t>
        </is>
      </c>
      <c r="F48" s="11" t="inlineStr">
        <is>
          <t>상황형</t>
        </is>
      </c>
      <c r="G48" s="11" t="inlineStr">
        <is>
          <t>사고 발생일로부터 4년이 지났지만 보험회사가 중간에 병원 치료비를 지급한 이력이 있다. 보험금 청구권 소멸시효가 새로 진행될 수 있는지 설명해줘.</t>
        </is>
      </c>
      <c r="H48" s="11" t="inlineStr">
        <is>
          <t>additional56</t>
        </is>
      </c>
      <c r="I48" s="11" t="inlineStr">
        <is>
          <t>5점</t>
        </is>
      </c>
      <c r="J48" s="11" t="inlineStr">
        <is>
          <t xml:space="preserve">이건 실무상 거의 발생하지 않는 일이고, 실제로 사고발생일로부터 3년이 지나서 보험금을 청구하더라도 청구권 소멸시효를 주장하는 일은 거의 없음. </t>
        </is>
      </c>
      <c r="K48" s="11" t="inlineStr">
        <is>
          <t>원문 근거에 맞는 직접 답변, 출처 권위 유지, 불확실성의 명시</t>
        </is>
      </c>
      <c r="L48" s="11" t="str"/>
      <c r="M48" s="11" t="str"/>
      <c r="N48" s="11" t="str"/>
      <c r="O48" s="11" t="inlineStr">
        <is>
          <t>미실행</t>
        </is>
      </c>
      <c r="P48" s="11" t="str"/>
      <c r="Q48" s="11" t="str"/>
      <c r="R48" s="11" t="str"/>
      <c r="S48" s="11" t="n"/>
      <c r="T48" s="11" t="n"/>
    </row>
    <row r="49" ht="26.39999961853027" customHeight="1">
      <c r="A49" s="11" t="n">
        <v>37</v>
      </c>
      <c r="B49" s="11" t="n">
        <v>1</v>
      </c>
      <c r="C49" s="11" t="inlineStr">
        <is>
          <t>new_20260702_020</t>
        </is>
      </c>
      <c r="D49" s="11" t="inlineStr">
        <is>
          <t>P2</t>
        </is>
      </c>
      <c r="E49" s="11" t="inlineStr">
        <is>
          <t>보험금 지급·청구</t>
        </is>
      </c>
      <c r="F49" s="11" t="inlineStr">
        <is>
          <t>예외확인형</t>
        </is>
      </c>
      <c r="G49" s="11" t="inlineStr">
        <is>
          <t>보험금 지급사유 조사 요청에 계약자나 피보험자가 동의하지 않아 확인이 지연되는 경우 보험금 지급기한이나 지연이자 판단에 어떤 영향이 있는지 설명해줘.</t>
        </is>
      </c>
      <c r="H49" s="11" t="inlineStr">
        <is>
          <t>additional56</t>
        </is>
      </c>
      <c r="I49" s="11" t="inlineStr">
        <is>
          <t>5점</t>
        </is>
      </c>
      <c r="J49" s="11" t="str"/>
      <c r="K49" s="11" t="inlineStr">
        <is>
          <t>원문 근거에 맞는 직접 답변, 출처 권위 유지, 불확실성의 명시</t>
        </is>
      </c>
      <c r="L49" s="11" t="str"/>
      <c r="M49" s="11" t="str"/>
      <c r="N49" s="11" t="str"/>
      <c r="O49" s="11" t="inlineStr">
        <is>
          <t>미실행</t>
        </is>
      </c>
      <c r="P49" s="11" t="str"/>
      <c r="Q49" s="11" t="str"/>
      <c r="R49" s="11" t="str"/>
      <c r="S49" s="11" t="n"/>
      <c r="T49" s="11" t="n"/>
    </row>
    <row r="50" ht="26.39999961853027" customHeight="1">
      <c r="A50" s="11" t="n">
        <v>38</v>
      </c>
      <c r="B50" s="11" t="n">
        <v>1</v>
      </c>
      <c r="C50" s="11" t="inlineStr">
        <is>
          <t>new_20260702_028</t>
        </is>
      </c>
      <c r="D50" s="11" t="inlineStr">
        <is>
          <t>P2</t>
        </is>
      </c>
      <c r="E50" s="11" t="inlineStr">
        <is>
          <t>비급여 실손의료비 특약</t>
        </is>
      </c>
      <c r="F50" s="11" t="inlineStr">
        <is>
          <t>근거요구형</t>
        </is>
      </c>
      <c r="G50" s="11" t="inlineStr">
        <is>
          <t>비급여 자기공명영상진단 특약에서 MRI와 MRA가 같은 보장종목으로 관리되는지, 보상한도 판단 시 어떤 점을 확인해야 하는지 설명해줘.</t>
        </is>
      </c>
      <c r="H50" s="11" t="inlineStr">
        <is>
          <t>additional56</t>
        </is>
      </c>
      <c r="I50" s="11" t="inlineStr">
        <is>
          <t>5점</t>
        </is>
      </c>
      <c r="J50" s="11" t="str"/>
      <c r="K50" s="11" t="inlineStr">
        <is>
          <t>원문 근거에 맞는 직접 답변, 출처 권위 유지, 불확실성의 명시</t>
        </is>
      </c>
      <c r="L50" s="11" t="str"/>
      <c r="M50" s="11" t="str"/>
      <c r="N50" s="11" t="str"/>
      <c r="O50" s="11" t="inlineStr">
        <is>
          <t>미실행</t>
        </is>
      </c>
      <c r="P50" s="11" t="str"/>
      <c r="Q50" s="11" t="str"/>
      <c r="R50" s="11" t="str"/>
      <c r="S50" s="11" t="n"/>
      <c r="T50" s="11" t="n"/>
    </row>
    <row r="51" ht="26.39999961853027" customHeight="1">
      <c r="A51" s="11" t="n">
        <v>39</v>
      </c>
      <c r="B51" s="11" t="n">
        <v>1</v>
      </c>
      <c r="C51" s="11" t="inlineStr">
        <is>
          <t>new_20260702_029</t>
        </is>
      </c>
      <c r="D51" s="11" t="inlineStr">
        <is>
          <t>P2</t>
        </is>
      </c>
      <c r="E51" s="11" t="inlineStr">
        <is>
          <t>다수보험 처리</t>
        </is>
      </c>
      <c r="F51" s="11" t="inlineStr">
        <is>
          <t>근거요구형</t>
        </is>
      </c>
      <c r="G51" s="11" t="inlineStr">
        <is>
          <t>다수보험에서 각 계약의 보상책임액 합계가 보상대상의료비 중 최고액을 초과하면 각 보험사는 어떤 방식으로 보험금을 나누어 지급하는지 설명해줘.</t>
        </is>
      </c>
      <c r="H51" s="11" t="inlineStr">
        <is>
          <t>additional56</t>
        </is>
      </c>
      <c r="I51" s="11" t="inlineStr">
        <is>
          <t>5점</t>
        </is>
      </c>
      <c r="J51" s="11" t="str"/>
      <c r="K51" s="11" t="inlineStr">
        <is>
          <t>원문 근거에 맞는 직접 답변, 출처 권위 유지, 불확실성의 명시</t>
        </is>
      </c>
      <c r="L51" s="11" t="str"/>
      <c r="M51" s="11" t="str"/>
      <c r="N51" s="11" t="str"/>
      <c r="O51" s="11" t="inlineStr">
        <is>
          <t>미실행</t>
        </is>
      </c>
      <c r="P51" s="11" t="str"/>
      <c r="Q51" s="11" t="str"/>
      <c r="R51" s="11" t="str"/>
      <c r="S51" s="11" t="n"/>
      <c r="T51" s="11" t="n"/>
    </row>
    <row r="52" ht="15" customHeight="1">
      <c r="A52" s="11" t="n">
        <v>40</v>
      </c>
      <c r="B52" s="11" t="n">
        <v>1</v>
      </c>
      <c r="C52" s="11" t="inlineStr">
        <is>
          <t>new_20260702_031</t>
        </is>
      </c>
      <c r="D52" s="11" t="inlineStr">
        <is>
          <t>P2</t>
        </is>
      </c>
      <c r="E52" s="11" t="inlineStr">
        <is>
          <t>다수보험 처리</t>
        </is>
      </c>
      <c r="F52" s="11" t="inlineStr">
        <is>
          <t>기존</t>
        </is>
      </c>
      <c r="G52" s="11" t="inlineStr">
        <is>
          <t>다수보험 비례분담액을 계산할 때 입원, 외래, 처방조제를 각각 구분해서 계산하나?</t>
        </is>
      </c>
      <c r="H52" s="11" t="inlineStr">
        <is>
          <t>additional56</t>
        </is>
      </c>
      <c r="I52" s="11" t="inlineStr">
        <is>
          <t>5점</t>
        </is>
      </c>
      <c r="J52" s="11" t="str"/>
      <c r="K52" s="11" t="inlineStr">
        <is>
          <t>원문 근거에 맞는 직접 답변, 출처 권위 유지, 불확실성의 명시</t>
        </is>
      </c>
      <c r="L52" s="11" t="str"/>
      <c r="M52" s="11" t="str"/>
      <c r="N52" s="11" t="str"/>
      <c r="O52" s="11" t="inlineStr">
        <is>
          <t>미실행</t>
        </is>
      </c>
      <c r="P52" s="11" t="str"/>
      <c r="Q52" s="11" t="str"/>
      <c r="R52" s="11" t="str"/>
      <c r="S52" s="11" t="n"/>
      <c r="T52" s="11" t="n"/>
    </row>
    <row r="53" ht="26.39999961853027" customHeight="1">
      <c r="A53" s="11" t="n">
        <v>41</v>
      </c>
      <c r="B53" s="11" t="n">
        <v>1</v>
      </c>
      <c r="C53" s="11" t="inlineStr">
        <is>
          <t>new_20260702_032</t>
        </is>
      </c>
      <c r="D53" s="11" t="inlineStr">
        <is>
          <t>P2</t>
        </is>
      </c>
      <c r="E53" s="11" t="inlineStr">
        <is>
          <t>다수보험 처리</t>
        </is>
      </c>
      <c r="F53" s="11" t="inlineStr">
        <is>
          <t>예외확인형</t>
        </is>
      </c>
      <c r="G53" s="11" t="inlineStr">
        <is>
          <t>여러 실손보험 중 한 보험사에 대한 보험금 청구를 포기하면 다른 보험사의 지급보험금 결정에도 영향이 있는지 설명해줘.</t>
        </is>
      </c>
      <c r="H53" s="11" t="inlineStr">
        <is>
          <t>additional56</t>
        </is>
      </c>
      <c r="I53" s="11" t="inlineStr">
        <is>
          <t>5점</t>
        </is>
      </c>
      <c r="J53" s="11" t="str"/>
      <c r="K53" s="11" t="inlineStr">
        <is>
          <t>원문 근거에 맞는 직접 답변, 출처 권위 유지, 불확실성의 명시</t>
        </is>
      </c>
      <c r="L53" s="11" t="str"/>
      <c r="M53" s="11" t="str"/>
      <c r="N53" s="11" t="str"/>
      <c r="O53" s="11" t="inlineStr">
        <is>
          <t>미실행</t>
        </is>
      </c>
      <c r="P53" s="11" t="str"/>
      <c r="Q53" s="11" t="str"/>
      <c r="R53" s="11" t="str"/>
      <c r="S53" s="11" t="n"/>
      <c r="T53" s="11" t="n"/>
    </row>
    <row r="54" ht="26.39999961853027" customHeight="1">
      <c r="A54" s="11" t="n">
        <v>42</v>
      </c>
      <c r="B54" s="11" t="n">
        <v>1</v>
      </c>
      <c r="C54" s="11" t="inlineStr">
        <is>
          <t>new_20260702_033</t>
        </is>
      </c>
      <c r="D54" s="11" t="inlineStr">
        <is>
          <t>P2</t>
        </is>
      </c>
      <c r="E54" s="11" t="inlineStr">
        <is>
          <t>다수보험 처리</t>
        </is>
      </c>
      <c r="F54" s="11" t="inlineStr">
        <is>
          <t>근거요구형</t>
        </is>
      </c>
      <c r="G54" s="11" t="inlineStr">
        <is>
          <t>단체실손의료보험과 개인실손의료보험이 중복될 때 개인실손 중지제도를 활용할 수 있는 요건과 취지를 설명해줘.</t>
        </is>
      </c>
      <c r="H54" s="11" t="inlineStr">
        <is>
          <t>additional56</t>
        </is>
      </c>
      <c r="I54" s="11" t="inlineStr">
        <is>
          <t>5점</t>
        </is>
      </c>
      <c r="J54" s="11" t="str"/>
      <c r="K54" s="11" t="inlineStr">
        <is>
          <t>원문 근거에 맞는 직접 답변, 출처 권위 유지, 불확실성의 명시</t>
        </is>
      </c>
      <c r="L54" s="11" t="str"/>
      <c r="M54" s="11" t="str"/>
      <c r="N54" s="11" t="str"/>
      <c r="O54" s="11" t="inlineStr">
        <is>
          <t>미실행</t>
        </is>
      </c>
      <c r="P54" s="11" t="str"/>
      <c r="Q54" s="11" t="str"/>
      <c r="R54" s="11" t="str"/>
      <c r="S54" s="11" t="n"/>
      <c r="T54" s="11" t="n"/>
    </row>
    <row r="55" ht="26.39999961853027" customHeight="1">
      <c r="A55" s="11" t="n">
        <v>43</v>
      </c>
      <c r="B55" s="11" t="n">
        <v>1</v>
      </c>
      <c r="C55" s="11" t="inlineStr">
        <is>
          <t>new_20260702_034</t>
        </is>
      </c>
      <c r="D55" s="11" t="inlineStr">
        <is>
          <t>P2</t>
        </is>
      </c>
      <c r="E55" s="11" t="inlineStr">
        <is>
          <t>다수보험 처리</t>
        </is>
      </c>
      <c r="F55" s="11" t="inlineStr">
        <is>
          <t>상황형</t>
        </is>
      </c>
      <c r="G55" s="11" t="inlineStr">
        <is>
          <t>직장에서 단체실손에 가입되어 있어 개인실손을 중지하려는 고객이 퇴직 후 보장 공백을 걱정한다. 개인실손 재개 또는 연계제도 관점에서 어떻게 안내해야 하나?</t>
        </is>
      </c>
      <c r="H55" s="11" t="inlineStr">
        <is>
          <t>additional56</t>
        </is>
      </c>
      <c r="I55" s="11" t="inlineStr">
        <is>
          <t>5점</t>
        </is>
      </c>
      <c r="J55" s="11" t="str"/>
      <c r="K55" s="11" t="inlineStr">
        <is>
          <t>원문 근거에 맞는 직접 답변, 출처 권위 유지, 불확실성의 명시</t>
        </is>
      </c>
      <c r="L55" s="11" t="str"/>
      <c r="M55" s="11" t="str"/>
      <c r="N55" s="11" t="str"/>
      <c r="O55" s="11" t="inlineStr">
        <is>
          <t>미실행</t>
        </is>
      </c>
      <c r="P55" s="11" t="str"/>
      <c r="Q55" s="11" t="str"/>
      <c r="R55" s="11" t="str"/>
      <c r="S55" s="11" t="n"/>
      <c r="T55" s="11" t="n"/>
    </row>
    <row r="56" ht="26.39999961853027" customHeight="1">
      <c r="A56" s="11" t="n">
        <v>44</v>
      </c>
      <c r="B56" s="11" t="n">
        <v>1</v>
      </c>
      <c r="C56" s="11" t="inlineStr">
        <is>
          <t>new_20260702_035</t>
        </is>
      </c>
      <c r="D56" s="11" t="inlineStr">
        <is>
          <t>P2</t>
        </is>
      </c>
      <c r="E56" s="11" t="inlineStr">
        <is>
          <t>다수보험 처리</t>
        </is>
      </c>
      <c r="F56" s="11" t="inlineStr">
        <is>
          <t>근거요구형</t>
        </is>
      </c>
      <c r="G56" s="11" t="inlineStr">
        <is>
          <t>2016년 이후 실손의료보험 표준약관의 다수보험 처리 산식에서 피보험자 부담 공제금액 중 최소액을 차감하는 구조를 설명해줘.</t>
        </is>
      </c>
      <c r="H56" s="11" t="inlineStr">
        <is>
          <t>additional56</t>
        </is>
      </c>
      <c r="I56" s="11" t="inlineStr">
        <is>
          <t>5점</t>
        </is>
      </c>
      <c r="J56" s="11" t="str"/>
      <c r="K56" s="11" t="inlineStr">
        <is>
          <t>원문 근거에 맞는 직접 답변, 출처 권위 유지, 불확실성의 명시</t>
        </is>
      </c>
      <c r="L56" s="11" t="str"/>
      <c r="M56" s="11" t="str"/>
      <c r="N56" s="11" t="str"/>
      <c r="O56" s="11" t="inlineStr">
        <is>
          <t>미실행</t>
        </is>
      </c>
      <c r="P56" s="11" t="str"/>
      <c r="Q56" s="11" t="str"/>
      <c r="R56" s="11" t="str"/>
      <c r="S56" s="11" t="n"/>
      <c r="T56" s="11" t="n"/>
    </row>
    <row r="57" ht="26.39999961853027" customHeight="1">
      <c r="A57" s="11" t="n">
        <v>45</v>
      </c>
      <c r="B57" s="11" t="n">
        <v>1</v>
      </c>
      <c r="C57" s="11" t="inlineStr">
        <is>
          <t>new_20260702_036</t>
        </is>
      </c>
      <c r="D57" s="11" t="inlineStr">
        <is>
          <t>P2</t>
        </is>
      </c>
      <c r="E57" s="11" t="inlineStr">
        <is>
          <t>해지·해약환급금</t>
        </is>
      </c>
      <c r="F57" s="11" t="inlineStr">
        <is>
          <t>근거요구형</t>
        </is>
      </c>
      <c r="G57" s="11" t="inlineStr">
        <is>
          <t>계약자가 보험가입금액을 감액하면 감액된 부분은 해지된 것으로 보는지, 해약환급금이 있으면 어떻게 지급되는지 설명해줘.</t>
        </is>
      </c>
      <c r="H57" s="11" t="inlineStr">
        <is>
          <t>additional56</t>
        </is>
      </c>
      <c r="I57" s="11" t="inlineStr">
        <is>
          <t>5점</t>
        </is>
      </c>
      <c r="J57" s="11" t="str"/>
      <c r="K57" s="11" t="inlineStr">
        <is>
          <t>원문 근거에 맞는 직접 답변, 출처 권위 유지, 불확실성의 명시</t>
        </is>
      </c>
      <c r="L57" s="11" t="str"/>
      <c r="M57" s="11" t="str"/>
      <c r="N57" s="11" t="str"/>
      <c r="O57" s="11" t="inlineStr">
        <is>
          <t>미실행</t>
        </is>
      </c>
      <c r="P57" s="11" t="str"/>
      <c r="Q57" s="11" t="str"/>
      <c r="R57" s="11" t="str"/>
      <c r="S57" s="11" t="n"/>
      <c r="T57" s="11" t="n"/>
    </row>
    <row r="58" ht="26.39999961853027" customHeight="1">
      <c r="A58" s="11" t="n">
        <v>46</v>
      </c>
      <c r="B58" s="11" t="n">
        <v>1</v>
      </c>
      <c r="C58" s="11" t="inlineStr">
        <is>
          <t>new_20260702_037</t>
        </is>
      </c>
      <c r="D58" s="11" t="inlineStr">
        <is>
          <t>P2</t>
        </is>
      </c>
      <c r="E58" s="11" t="inlineStr">
        <is>
          <t>해지·해약환급금</t>
        </is>
      </c>
      <c r="F58" s="11" t="inlineStr">
        <is>
          <t>근거요구형</t>
        </is>
      </c>
      <c r="G58" s="11" t="inlineStr">
        <is>
          <t>계약자, 피보험자 또는 보험수익자가 보험금을 받을 목적으로 고의로 보험금 지급사유를 발생시킨 경우 회사가 중대사유로 계약을 해지할 수 있는지 설명해줘.</t>
        </is>
      </c>
      <c r="H58" s="11" t="inlineStr">
        <is>
          <t>additional56</t>
        </is>
      </c>
      <c r="I58" s="11" t="inlineStr">
        <is>
          <t>5점</t>
        </is>
      </c>
      <c r="J58" s="11" t="str"/>
      <c r="K58" s="11" t="inlineStr">
        <is>
          <t>원문 근거에 맞는 직접 답변, 출처 권위 유지, 불확실성의 명시</t>
        </is>
      </c>
      <c r="L58" s="11" t="str"/>
      <c r="M58" s="11" t="str"/>
      <c r="N58" s="11" t="str"/>
      <c r="O58" s="11" t="inlineStr">
        <is>
          <t>미실행</t>
        </is>
      </c>
      <c r="P58" s="11" t="str"/>
      <c r="Q58" s="11" t="str"/>
      <c r="R58" s="11" t="str"/>
      <c r="S58" s="11" t="n"/>
      <c r="T58" s="11" t="n"/>
    </row>
    <row r="59" ht="26.39999961853027" customHeight="1">
      <c r="A59" s="11" t="n">
        <v>47</v>
      </c>
      <c r="B59" s="11" t="n">
        <v>1</v>
      </c>
      <c r="C59" s="11" t="inlineStr">
        <is>
          <t>new_20260702_038</t>
        </is>
      </c>
      <c r="D59" s="11" t="inlineStr">
        <is>
          <t>P2</t>
        </is>
      </c>
      <c r="E59" s="11" t="inlineStr">
        <is>
          <t>해지·해약환급금</t>
        </is>
      </c>
      <c r="F59" s="11" t="inlineStr">
        <is>
          <t>패러프레이즈</t>
        </is>
      </c>
      <c r="G59" s="11" t="inlineStr">
        <is>
          <t>1년 만기 순수보장성 실손의료보험에서 중도 해지 시 해약환급금이 없거나 납입보험료보다 적을 수 있는 이유를 핵심만 정리해줘.</t>
        </is>
      </c>
      <c r="H59" s="11" t="inlineStr">
        <is>
          <t>additional56</t>
        </is>
      </c>
      <c r="I59" s="11" t="inlineStr">
        <is>
          <t>5점</t>
        </is>
      </c>
      <c r="J59" s="11" t="str"/>
      <c r="K59" s="11" t="inlineStr">
        <is>
          <t>원문 근거에 맞는 직접 답변, 출처 권위 유지, 불확실성의 명시</t>
        </is>
      </c>
      <c r="L59" s="11" t="str"/>
      <c r="M59" s="11" t="str"/>
      <c r="N59" s="11" t="str"/>
      <c r="O59" s="11" t="inlineStr">
        <is>
          <t>미실행</t>
        </is>
      </c>
      <c r="P59" s="11" t="str"/>
      <c r="Q59" s="11" t="str"/>
      <c r="R59" s="11" t="str"/>
      <c r="S59" s="11" t="n"/>
      <c r="T59" s="11" t="n"/>
    </row>
    <row r="60" ht="15" customHeight="1">
      <c r="A60" s="11" t="n">
        <v>48</v>
      </c>
      <c r="B60" s="11" t="n">
        <v>1</v>
      </c>
      <c r="C60" s="11" t="inlineStr">
        <is>
          <t>new_20260702_039</t>
        </is>
      </c>
      <c r="D60" s="11" t="inlineStr">
        <is>
          <t>P2</t>
        </is>
      </c>
      <c r="E60" s="11" t="inlineStr">
        <is>
          <t>갱신·재가입</t>
        </is>
      </c>
      <c r="F60" s="11" t="inlineStr">
        <is>
          <t>기한·한도확인형</t>
        </is>
      </c>
      <c r="G60" s="11" t="inlineStr">
        <is>
          <t>실손의료보험 재가입이 가능한 최고 나이와 보장받을 수 있는 최대 기간을 보험나이 기준으로 알려줘.</t>
        </is>
      </c>
      <c r="H60" s="11" t="inlineStr">
        <is>
          <t>additional56</t>
        </is>
      </c>
      <c r="I60" s="11" t="inlineStr">
        <is>
          <t>5점</t>
        </is>
      </c>
      <c r="J60" s="11" t="str"/>
      <c r="K60" s="11" t="inlineStr">
        <is>
          <t>원문 근거에 맞는 직접 답변, 출처 권위 유지, 불확실성의 명시</t>
        </is>
      </c>
      <c r="L60" s="11" t="str"/>
      <c r="M60" s="11" t="str"/>
      <c r="N60" s="11" t="str"/>
      <c r="O60" s="11" t="inlineStr">
        <is>
          <t>미실행</t>
        </is>
      </c>
      <c r="P60" s="11" t="str"/>
      <c r="Q60" s="11" t="str"/>
      <c r="R60" s="11" t="str"/>
      <c r="S60" s="11" t="n"/>
      <c r="T60" s="11" t="n"/>
    </row>
    <row r="61" ht="26.39999961853027" customHeight="1">
      <c r="A61" s="11" t="n">
        <v>49</v>
      </c>
      <c r="B61" s="11" t="n">
        <v>1</v>
      </c>
      <c r="C61" s="11" t="inlineStr">
        <is>
          <t>new_20260702_040</t>
        </is>
      </c>
      <c r="D61" s="11" t="inlineStr">
        <is>
          <t>P2</t>
        </is>
      </c>
      <c r="E61" s="11" t="inlineStr">
        <is>
          <t>갱신·재가입</t>
        </is>
      </c>
      <c r="F61" s="11" t="inlineStr">
        <is>
          <t>근거요구형</t>
        </is>
      </c>
      <c r="G61" s="11" t="inlineStr">
        <is>
          <t>재가입 시점에 회사가 판매하는 실손의료보험 상품으로 가입하는 경우 회사가 재가입을 거절할 수 있는지 설명해줘.</t>
        </is>
      </c>
      <c r="H61" s="11" t="inlineStr">
        <is>
          <t>additional56</t>
        </is>
      </c>
      <c r="I61" s="11" t="inlineStr">
        <is>
          <t>5점</t>
        </is>
      </c>
      <c r="J61" s="11" t="str"/>
      <c r="K61" s="11" t="inlineStr">
        <is>
          <t>원문 근거에 맞는 직접 답변, 출처 권위 유지, 불확실성의 명시</t>
        </is>
      </c>
      <c r="L61" s="11" t="str"/>
      <c r="M61" s="11" t="str"/>
      <c r="N61" s="11" t="str"/>
      <c r="O61" s="11" t="inlineStr">
        <is>
          <t>미실행</t>
        </is>
      </c>
      <c r="P61" s="11" t="str"/>
      <c r="Q61" s="11" t="str"/>
      <c r="R61" s="11" t="str"/>
      <c r="S61" s="11" t="n"/>
      <c r="T61" s="11" t="n"/>
    </row>
    <row r="62" ht="26.39999961853027" customHeight="1">
      <c r="A62" s="11" t="n">
        <v>50</v>
      </c>
      <c r="B62" s="11" t="n">
        <v>1</v>
      </c>
      <c r="C62" s="11" t="inlineStr">
        <is>
          <t>new_20260702_041</t>
        </is>
      </c>
      <c r="D62" s="11" t="inlineStr">
        <is>
          <t>P2</t>
        </is>
      </c>
      <c r="E62" s="11" t="inlineStr">
        <is>
          <t>갱신·재가입</t>
        </is>
      </c>
      <c r="F62" s="11" t="inlineStr">
        <is>
          <t>상황형</t>
        </is>
      </c>
      <c r="G62" s="11" t="inlineStr">
        <is>
          <t>재가입 안내를 받은 계약자가 재가입 의사를 표시하지 않거나 재가입을 원하지 않는다고 답했다. 계약은 어떻게 처리되는지 설명해줘.</t>
        </is>
      </c>
      <c r="H62" s="11" t="inlineStr">
        <is>
          <t>additional56</t>
        </is>
      </c>
      <c r="I62" s="11" t="inlineStr">
        <is>
          <t>5점</t>
        </is>
      </c>
      <c r="J62" s="11" t="str"/>
      <c r="K62" s="11" t="inlineStr">
        <is>
          <t>원문 근거에 맞는 직접 답변, 출처 권위 유지, 불확실성의 명시</t>
        </is>
      </c>
      <c r="L62" s="11" t="str"/>
      <c r="M62" s="11" t="str"/>
      <c r="N62" s="11" t="str"/>
      <c r="O62" s="11" t="inlineStr">
        <is>
          <t>미실행</t>
        </is>
      </c>
      <c r="P62" s="11" t="str"/>
      <c r="Q62" s="11" t="str"/>
      <c r="R62" s="11" t="str"/>
      <c r="S62" s="11" t="n"/>
      <c r="T62" s="11" t="n"/>
    </row>
    <row r="63" ht="26.39999961853027" customHeight="1">
      <c r="A63" s="11" t="n">
        <v>51</v>
      </c>
      <c r="B63" s="11" t="n">
        <v>1</v>
      </c>
      <c r="C63" s="11" t="inlineStr">
        <is>
          <t>new_20260702_042</t>
        </is>
      </c>
      <c r="D63" s="11" t="inlineStr">
        <is>
          <t>P2</t>
        </is>
      </c>
      <c r="E63" s="11" t="inlineStr">
        <is>
          <t>갱신·재가입</t>
        </is>
      </c>
      <c r="F63" s="11" t="inlineStr">
        <is>
          <t>근거요구형</t>
        </is>
      </c>
      <c r="G63" s="11" t="inlineStr">
        <is>
          <t>갱신계약의 제1회 보험료를 납입하지 않은 경우 납입최고와 계약 해제 절차가 어떻게 적용되는지 약관 기준으로 설명해줘.</t>
        </is>
      </c>
      <c r="H63" s="11" t="inlineStr">
        <is>
          <t>additional56</t>
        </is>
      </c>
      <c r="I63" s="11" t="inlineStr">
        <is>
          <t>5점</t>
        </is>
      </c>
      <c r="J63" s="11" t="str"/>
      <c r="K63" s="11" t="inlineStr">
        <is>
          <t>원문 근거에 맞는 직접 답변, 출처 권위 유지, 불확실성의 명시</t>
        </is>
      </c>
      <c r="L63" s="11" t="str"/>
      <c r="M63" s="11" t="str"/>
      <c r="N63" s="11" t="str"/>
      <c r="O63" s="11" t="inlineStr">
        <is>
          <t>미실행</t>
        </is>
      </c>
      <c r="P63" s="11" t="str"/>
      <c r="Q63" s="11" t="str"/>
      <c r="R63" s="11" t="str"/>
      <c r="S63" s="11" t="n"/>
      <c r="T63" s="11" t="n"/>
    </row>
    <row r="64" ht="26.39999961853027" customHeight="1">
      <c r="A64" s="11" t="n">
        <v>52</v>
      </c>
      <c r="B64" s="11" t="n">
        <v>1</v>
      </c>
      <c r="C64" s="11" t="inlineStr">
        <is>
          <t>new_20260702_043</t>
        </is>
      </c>
      <c r="D64" s="11" t="inlineStr">
        <is>
          <t>P2</t>
        </is>
      </c>
      <c r="E64" s="11" t="inlineStr">
        <is>
          <t>갱신·재가입</t>
        </is>
      </c>
      <c r="F64" s="11" t="inlineStr">
        <is>
          <t>예외확인형</t>
        </is>
      </c>
      <c r="G64" s="11" t="inlineStr">
        <is>
          <t>갱신 전 계약에서 기본계약이나 특별약관의 소멸사유가 발생한 경우 차회 이후 갱신계약 보장에 어떤 제한이 있는지 설명해줘.</t>
        </is>
      </c>
      <c r="H64" s="11" t="inlineStr">
        <is>
          <t>additional56</t>
        </is>
      </c>
      <c r="I64" s="11" t="inlineStr">
        <is>
          <t>5점</t>
        </is>
      </c>
      <c r="J64" s="11" t="str"/>
      <c r="K64" s="11" t="inlineStr">
        <is>
          <t>원문 근거에 맞는 직접 답변, 출처 권위 유지, 불확실성의 명시</t>
        </is>
      </c>
      <c r="L64" s="11" t="str"/>
      <c r="M64" s="11" t="str"/>
      <c r="N64" s="11" t="str"/>
      <c r="O64" s="11" t="inlineStr">
        <is>
          <t>미실행</t>
        </is>
      </c>
      <c r="P64" s="11" t="str"/>
      <c r="Q64" s="11" t="str"/>
      <c r="R64" s="11" t="str"/>
      <c r="S64" s="11" t="n"/>
      <c r="T64" s="11" t="n"/>
    </row>
    <row r="65" ht="26.39999961853027" customHeight="1">
      <c r="A65" s="11" t="n">
        <v>53</v>
      </c>
      <c r="B65" s="11" t="n">
        <v>1</v>
      </c>
      <c r="C65" s="11" t="inlineStr">
        <is>
          <t>new_20260702_044</t>
        </is>
      </c>
      <c r="D65" s="11" t="inlineStr">
        <is>
          <t>P2</t>
        </is>
      </c>
      <c r="E65" s="11" t="inlineStr">
        <is>
          <t>분쟁·약관해석</t>
        </is>
      </c>
      <c r="F65" s="11" t="inlineStr">
        <is>
          <t>근거요구형</t>
        </is>
      </c>
      <c r="G65" s="11" t="inlineStr">
        <is>
          <t>약관의 뜻이 명백하지 않은 경우 회사는 누구에게 유리하게 해석해야 하는지, 계약자별로 다르게 해석할 수 있는지도 함께 설명해줘.</t>
        </is>
      </c>
      <c r="H65" s="11" t="inlineStr">
        <is>
          <t>additional56</t>
        </is>
      </c>
      <c r="I65" s="11" t="inlineStr">
        <is>
          <t>5점</t>
        </is>
      </c>
      <c r="J65" s="11" t="str"/>
      <c r="K65" s="11" t="inlineStr">
        <is>
          <t>원문 근거에 맞는 직접 답변, 출처 권위 유지, 불확실성의 명시</t>
        </is>
      </c>
      <c r="L65" s="11" t="str"/>
      <c r="M65" s="11" t="str"/>
      <c r="N65" s="11" t="str"/>
      <c r="O65" s="11" t="inlineStr">
        <is>
          <t>미실행</t>
        </is>
      </c>
      <c r="P65" s="11" t="str"/>
      <c r="Q65" s="11" t="str"/>
      <c r="R65" s="11" t="str"/>
      <c r="S65" s="11" t="n"/>
      <c r="T65" s="11" t="n"/>
    </row>
    <row r="66" ht="26.39999961853027" customHeight="1">
      <c r="A66" s="11" t="n">
        <v>54</v>
      </c>
      <c r="B66" s="11" t="n">
        <v>1</v>
      </c>
      <c r="C66" s="11" t="inlineStr">
        <is>
          <t>new_20260702_045</t>
        </is>
      </c>
      <c r="D66" s="11" t="inlineStr">
        <is>
          <t>P2</t>
        </is>
      </c>
      <c r="E66" s="11" t="inlineStr">
        <is>
          <t>분쟁·약관해석</t>
        </is>
      </c>
      <c r="F66" s="11" t="inlineStr">
        <is>
          <t>상황형</t>
        </is>
      </c>
      <c r="G66" s="11" t="inlineStr">
        <is>
          <t>보험금 지급사유 확인 중 분쟁조정 신청이 제기되어 조사가 길어지고 있다. 지급예정일과 지급 지연 판단을 어떻게 안내해야 하나?</t>
        </is>
      </c>
      <c r="H66" s="11" t="inlineStr">
        <is>
          <t>additional56</t>
        </is>
      </c>
      <c r="I66" s="11" t="inlineStr">
        <is>
          <t>5점</t>
        </is>
      </c>
      <c r="J66" s="11" t="str"/>
      <c r="K66" s="11" t="inlineStr">
        <is>
          <t>원문 근거에 맞는 직접 답변, 출처 권위 유지, 불확실성의 명시</t>
        </is>
      </c>
      <c r="L66" s="11" t="str"/>
      <c r="M66" s="11" t="str"/>
      <c r="N66" s="11" t="str"/>
      <c r="O66" s="11" t="inlineStr">
        <is>
          <t>미실행</t>
        </is>
      </c>
      <c r="P66" s="11" t="str"/>
      <c r="Q66" s="11" t="str"/>
      <c r="R66" s="11" t="str"/>
      <c r="S66" s="11" t="n"/>
      <c r="T66" s="11" t="n"/>
    </row>
    <row r="67" ht="26.39999961853027" customHeight="1">
      <c r="A67" s="11" t="n">
        <v>55</v>
      </c>
      <c r="B67" s="11" t="n">
        <v>1</v>
      </c>
      <c r="C67" s="11" t="inlineStr">
        <is>
          <t>new_20260702_046</t>
        </is>
      </c>
      <c r="D67" s="11" t="inlineStr">
        <is>
          <t>P2</t>
        </is>
      </c>
      <c r="E67" s="11" t="inlineStr">
        <is>
          <t>분쟁·약관해석</t>
        </is>
      </c>
      <c r="F67" s="11" t="inlineStr">
        <is>
          <t>근거요구형</t>
        </is>
      </c>
      <c r="G67" s="11" t="inlineStr">
        <is>
          <t>보험계약 관련 소송이나 민사조정의 관할법원은 원칙적으로 어디인지, 회사와 계약자가 합의하면 달리 정할 수 있는지 설명해줘.</t>
        </is>
      </c>
      <c r="H67" s="11" t="inlineStr">
        <is>
          <t>additional56</t>
        </is>
      </c>
      <c r="I67" s="11" t="inlineStr">
        <is>
          <t>5점</t>
        </is>
      </c>
      <c r="J67" s="11" t="str"/>
      <c r="K67" s="11" t="inlineStr">
        <is>
          <t>원문 근거에 맞는 직접 답변, 출처 권위 유지, 불확실성의 명시</t>
        </is>
      </c>
      <c r="L67" s="11" t="str"/>
      <c r="M67" s="11" t="str"/>
      <c r="N67" s="11" t="str"/>
      <c r="O67" s="11" t="inlineStr">
        <is>
          <t>미실행</t>
        </is>
      </c>
      <c r="P67" s="11" t="str"/>
      <c r="Q67" s="11" t="str"/>
      <c r="R67" s="11" t="str"/>
      <c r="S67" s="11" t="n"/>
      <c r="T67" s="11" t="n"/>
    </row>
    <row r="68" ht="26.39999961853027" customHeight="1">
      <c r="A68" s="11" t="n">
        <v>56</v>
      </c>
      <c r="B68" s="11" t="n">
        <v>1</v>
      </c>
      <c r="C68" s="11" t="inlineStr">
        <is>
          <t>new_20260702_048</t>
        </is>
      </c>
      <c r="D68" s="11" t="inlineStr">
        <is>
          <t>P2</t>
        </is>
      </c>
      <c r="E68" s="11" t="inlineStr">
        <is>
          <t>분쟁·약관해석</t>
        </is>
      </c>
      <c r="F68" s="11" t="inlineStr">
        <is>
          <t>패러프레이즈</t>
        </is>
      </c>
      <c r="G68" s="11" t="inlineStr">
        <is>
          <t>금융감독원 분쟁조정위원회 결정례를 답변 근거로 사용할 때 약관 조문과 어떤 관계로 설명해야 하는지 핵심만 정리해줘.</t>
        </is>
      </c>
      <c r="H68" s="11" t="inlineStr">
        <is>
          <t>additional56</t>
        </is>
      </c>
      <c r="I68" s="11" t="inlineStr">
        <is>
          <t>5점</t>
        </is>
      </c>
      <c r="J68" s="11" t="str"/>
      <c r="K68" s="11" t="inlineStr">
        <is>
          <t>원문 근거에 맞는 직접 답변, 출처 권위 유지, 불확실성의 명시</t>
        </is>
      </c>
      <c r="L68" s="11" t="str"/>
      <c r="M68" s="11" t="str"/>
      <c r="N68" s="11" t="str"/>
      <c r="O68" s="11" t="inlineStr">
        <is>
          <t>미실행</t>
        </is>
      </c>
      <c r="P68" s="11" t="str"/>
      <c r="Q68" s="11" t="str"/>
      <c r="R68" s="11" t="str"/>
      <c r="S68" s="11" t="n"/>
      <c r="T68" s="11" t="n"/>
    </row>
    <row r="69" ht="26.39999961853027" customHeight="1">
      <c r="A69" s="11" t="n">
        <v>57</v>
      </c>
      <c r="B69" s="11" t="n">
        <v>1</v>
      </c>
      <c r="C69" s="11" t="inlineStr">
        <is>
          <t>new_20260702_049</t>
        </is>
      </c>
      <c r="D69" s="11" t="inlineStr">
        <is>
          <t>P2</t>
        </is>
      </c>
      <c r="E69" s="11" t="inlineStr">
        <is>
          <t>분쟁·약관해석</t>
        </is>
      </c>
      <c r="F69" s="11" t="inlineStr">
        <is>
          <t>예외확인형</t>
        </is>
      </c>
      <c r="G69" s="11" t="inlineStr">
        <is>
          <t>보험금 지급 지연 이자를 계산할 때 사실확인이 끝날 때까지 이자를 지급하지 않을 수 있는 경우가 있는지 설명해줘.</t>
        </is>
      </c>
      <c r="H69" s="11" t="inlineStr">
        <is>
          <t>additional56</t>
        </is>
      </c>
      <c r="I69" s="11" t="inlineStr">
        <is>
          <t>5점</t>
        </is>
      </c>
      <c r="J69" s="11" t="str"/>
      <c r="K69" s="11" t="inlineStr">
        <is>
          <t>원문 근거에 맞는 직접 답변, 출처 권위 유지, 불확실성의 명시</t>
        </is>
      </c>
      <c r="L69" s="11" t="str"/>
      <c r="M69" s="11" t="str"/>
      <c r="N69" s="11" t="str"/>
      <c r="O69" s="11" t="inlineStr">
        <is>
          <t>미실행</t>
        </is>
      </c>
      <c r="P69" s="11" t="str"/>
      <c r="Q69" s="11" t="str"/>
      <c r="R69" s="11" t="str"/>
      <c r="S69" s="11" t="n"/>
      <c r="T69" s="11" t="n"/>
    </row>
    <row r="70" ht="15" customHeight="1">
      <c r="A70" s="11" t="n">
        <v>58</v>
      </c>
      <c r="B70" s="11" t="n">
        <v>1</v>
      </c>
      <c r="C70" s="11" t="inlineStr">
        <is>
          <t>new_20260702_050</t>
        </is>
      </c>
      <c r="D70" s="11" t="inlineStr">
        <is>
          <t>P2</t>
        </is>
      </c>
      <c r="E70" s="11" t="inlineStr">
        <is>
          <t>분쟁·약관해석</t>
        </is>
      </c>
      <c r="F70" s="11" t="inlineStr">
        <is>
          <t>결론우선형</t>
        </is>
      </c>
      <c r="G70" s="11" t="inlineStr">
        <is>
          <t>약관을 해석할 때 회사가 지켜야 하는 신의성실의 원칙과 공정 해석 원칙의 결론을 먼저 말해줘.</t>
        </is>
      </c>
      <c r="H70" s="11" t="inlineStr">
        <is>
          <t>additional56</t>
        </is>
      </c>
      <c r="I70" s="11" t="inlineStr">
        <is>
          <t>5점</t>
        </is>
      </c>
      <c r="J70" s="11" t="str"/>
      <c r="K70" s="11" t="inlineStr">
        <is>
          <t>원문 근거에 맞는 직접 답변, 출처 권위 유지, 불확실성의 명시</t>
        </is>
      </c>
      <c r="L70" s="11" t="str"/>
      <c r="M70" s="11" t="str"/>
      <c r="N70" s="11" t="str"/>
      <c r="O70" s="11" t="inlineStr">
        <is>
          <t>미실행</t>
        </is>
      </c>
      <c r="P70" s="11" t="str"/>
      <c r="Q70" s="11" t="str"/>
      <c r="R70" s="11" t="str"/>
      <c r="S70" s="11" t="n"/>
      <c r="T70" s="11" t="n"/>
    </row>
    <row r="71" ht="15" customHeight="1">
      <c r="A71" s="11" t="n">
        <v>59</v>
      </c>
      <c r="B71" s="11" t="n">
        <v>1</v>
      </c>
      <c r="C71" s="11" t="inlineStr">
        <is>
          <t>new_20260702_051</t>
        </is>
      </c>
      <c r="D71" s="11" t="inlineStr">
        <is>
          <t>P2</t>
        </is>
      </c>
      <c r="E71" s="11" t="inlineStr">
        <is>
          <t>제도성 특별약관</t>
        </is>
      </c>
      <c r="F71" s="11" t="inlineStr">
        <is>
          <t>패러프레이즈</t>
        </is>
      </c>
      <c r="G71" s="11" t="inlineStr">
        <is>
          <t>지정대리청구서비스는 어떤 상황에 대비해 두는 제도인지 핵심만 정리해줘.</t>
        </is>
      </c>
      <c r="H71" s="11" t="inlineStr">
        <is>
          <t>additional56</t>
        </is>
      </c>
      <c r="I71" s="11" t="inlineStr">
        <is>
          <t>5점</t>
        </is>
      </c>
      <c r="J71" s="11" t="str"/>
      <c r="K71" s="11" t="inlineStr">
        <is>
          <t>원문 근거에 맞는 직접 답변, 출처 권위 유지, 불확실성의 명시</t>
        </is>
      </c>
      <c r="L71" s="11" t="str"/>
      <c r="M71" s="11" t="str"/>
      <c r="N71" s="11" t="str"/>
      <c r="O71" s="11" t="inlineStr">
        <is>
          <t>미실행</t>
        </is>
      </c>
      <c r="P71" s="11" t="str"/>
      <c r="Q71" s="11" t="str"/>
      <c r="R71" s="11" t="str"/>
      <c r="S71" s="11" t="n"/>
      <c r="T71" s="11" t="n"/>
    </row>
    <row r="72" ht="26.39999961853027" customHeight="1">
      <c r="A72" s="11" t="n">
        <v>60</v>
      </c>
      <c r="B72" s="11" t="n">
        <v>1</v>
      </c>
      <c r="C72" s="11" t="inlineStr">
        <is>
          <t>new_20260702_052</t>
        </is>
      </c>
      <c r="D72" s="11" t="inlineStr">
        <is>
          <t>P2</t>
        </is>
      </c>
      <c r="E72" s="11" t="inlineStr">
        <is>
          <t>제도성 특별약관</t>
        </is>
      </c>
      <c r="F72" s="11" t="inlineStr">
        <is>
          <t>상황형</t>
        </is>
      </c>
      <c r="G72" s="11" t="inlineStr">
        <is>
          <t>계약자 본인이 치매 등으로 보험금을 직접 청구하기 어려운 상황이 발생했다. 미리 지정한 보험금 지정대리청구인이 대신 청구할 수 있는지 설명해줘.</t>
        </is>
      </c>
      <c r="H72" s="11" t="inlineStr">
        <is>
          <t>additional56</t>
        </is>
      </c>
      <c r="I72" s="11" t="inlineStr">
        <is>
          <t>5점</t>
        </is>
      </c>
      <c r="J72" s="11" t="str"/>
      <c r="K72" s="11" t="inlineStr">
        <is>
          <t>원문 근거에 맞는 직접 답변, 출처 권위 유지, 불확실성의 명시</t>
        </is>
      </c>
      <c r="L72" s="11" t="str"/>
      <c r="M72" s="11" t="str"/>
      <c r="N72" s="11" t="str"/>
      <c r="O72" s="11" t="inlineStr">
        <is>
          <t>미실행</t>
        </is>
      </c>
      <c r="P72" s="11" t="str"/>
      <c r="Q72" s="11" t="str"/>
      <c r="R72" s="11" t="str"/>
      <c r="S72" s="11" t="n"/>
      <c r="T72" s="11" t="n"/>
    </row>
    <row r="73" ht="15" customHeight="1">
      <c r="A73" s="11" t="n">
        <v>61</v>
      </c>
      <c r="B73" s="11" t="n">
        <v>1</v>
      </c>
      <c r="C73" s="11" t="inlineStr">
        <is>
          <t>new_20260702_053</t>
        </is>
      </c>
      <c r="D73" s="11" t="inlineStr">
        <is>
          <t>P2</t>
        </is>
      </c>
      <c r="E73" s="11" t="inlineStr">
        <is>
          <t>제도성 특별약관</t>
        </is>
      </c>
      <c r="F73" s="11" t="inlineStr">
        <is>
          <t>근거요구형</t>
        </is>
      </c>
      <c r="G73" s="11" t="inlineStr">
        <is>
          <t>단체실손의료보험과 중복되는 개인실손의료보험을 중지할 수 있는 제도의 목적과 신청 가능 상황을 설명해줘.</t>
        </is>
      </c>
      <c r="H73" s="11" t="inlineStr">
        <is>
          <t>additional56</t>
        </is>
      </c>
      <c r="I73" s="11" t="inlineStr">
        <is>
          <t>5점</t>
        </is>
      </c>
      <c r="J73" s="11" t="str"/>
      <c r="K73" s="11" t="inlineStr">
        <is>
          <t>원문 근거에 맞는 직접 답변, 출처 권위 유지, 불확실성의 명시</t>
        </is>
      </c>
      <c r="L73" s="11" t="str"/>
      <c r="M73" s="11" t="str"/>
      <c r="N73" s="11" t="str"/>
      <c r="O73" s="11" t="inlineStr">
        <is>
          <t>미실행</t>
        </is>
      </c>
      <c r="P73" s="11" t="str"/>
      <c r="Q73" s="11" t="str"/>
      <c r="R73" s="11" t="str"/>
      <c r="S73" s="11" t="n"/>
      <c r="T73" s="11" t="n"/>
    </row>
    <row r="74" ht="26.39999961853027" customHeight="1">
      <c r="A74" s="11" t="n">
        <v>62</v>
      </c>
      <c r="B74" s="11" t="n">
        <v>1</v>
      </c>
      <c r="C74" s="11" t="inlineStr">
        <is>
          <t>new_20260702_054</t>
        </is>
      </c>
      <c r="D74" s="11" t="inlineStr">
        <is>
          <t>P2</t>
        </is>
      </c>
      <c r="E74" s="11" t="inlineStr">
        <is>
          <t>제도성 특별약관</t>
        </is>
      </c>
      <c r="F74" s="11" t="inlineStr">
        <is>
          <t>예외확인형</t>
        </is>
      </c>
      <c r="G74" s="11" t="inlineStr">
        <is>
          <t>개인실손 중지·재개 제도를 설명할 때 노후실손, 유병력자실손, 여행실손은 개인실손 범위에서 어떻게 취급되는지 확인해줘.</t>
        </is>
      </c>
      <c r="H74" s="11" t="inlineStr">
        <is>
          <t>additional56</t>
        </is>
      </c>
      <c r="I74" s="11" t="inlineStr">
        <is>
          <t>5점</t>
        </is>
      </c>
      <c r="J74" s="11" t="str"/>
      <c r="K74" s="11" t="inlineStr">
        <is>
          <t>원문 근거에 맞는 직접 답변, 출처 권위 유지, 불확실성의 명시</t>
        </is>
      </c>
      <c r="L74" s="11" t="str"/>
      <c r="M74" s="11" t="str"/>
      <c r="N74" s="11" t="str"/>
      <c r="O74" s="11" t="inlineStr">
        <is>
          <t>미실행</t>
        </is>
      </c>
      <c r="P74" s="11" t="str"/>
      <c r="Q74" s="11" t="str"/>
      <c r="R74" s="11" t="str"/>
      <c r="S74" s="11" t="n"/>
      <c r="T74" s="11" t="n"/>
    </row>
    <row r="75" ht="26.39999961853027" customHeight="1">
      <c r="A75" s="11" t="n">
        <v>63</v>
      </c>
      <c r="B75" s="11" t="n">
        <v>1</v>
      </c>
      <c r="C75" s="11" t="inlineStr">
        <is>
          <t>new_20260702_055</t>
        </is>
      </c>
      <c r="D75" s="11" t="inlineStr">
        <is>
          <t>P2</t>
        </is>
      </c>
      <c r="E75" s="11" t="inlineStr">
        <is>
          <t>제도성 특별약관</t>
        </is>
      </c>
      <c r="F75" s="11" t="inlineStr">
        <is>
          <t>근거요구형</t>
        </is>
      </c>
      <c r="G75" s="11" t="inlineStr">
        <is>
          <t>이륜자동차 운전 및 탑승 중 상해 부담보 특별약관에서 전동킥보드 같은 개인형 이동장치가 차량 범위에 포함될 수 있는지 설명해줘.</t>
        </is>
      </c>
      <c r="H75" s="11" t="inlineStr">
        <is>
          <t>additional56</t>
        </is>
      </c>
      <c r="I75" s="11" t="inlineStr">
        <is>
          <t>5점</t>
        </is>
      </c>
      <c r="J75" s="11" t="str"/>
      <c r="K75" s="11" t="inlineStr">
        <is>
          <t>원문 근거에 맞는 직접 답변, 출처 권위 유지, 불확실성의 명시</t>
        </is>
      </c>
      <c r="L75" s="11" t="str"/>
      <c r="M75" s="11" t="str"/>
      <c r="N75" s="11" t="str"/>
      <c r="O75" s="11" t="inlineStr">
        <is>
          <t>미실행</t>
        </is>
      </c>
      <c r="P75" s="11" t="str"/>
      <c r="Q75" s="11" t="str"/>
      <c r="R75" s="11" t="str"/>
      <c r="S75" s="11" t="n"/>
      <c r="T75" s="11" t="n"/>
    </row>
    <row r="76" ht="26.39999961853027" customHeight="1">
      <c r="A76" s="11" t="n">
        <v>64</v>
      </c>
      <c r="B76" s="11" t="n">
        <v>1</v>
      </c>
      <c r="C76" s="11" t="inlineStr">
        <is>
          <t>new_20260702_056</t>
        </is>
      </c>
      <c r="D76" s="11" t="inlineStr">
        <is>
          <t>P2</t>
        </is>
      </c>
      <c r="E76" s="11" t="inlineStr">
        <is>
          <t>제도성 특별약관</t>
        </is>
      </c>
      <c r="F76" s="11" t="inlineStr">
        <is>
          <t>상황형</t>
        </is>
      </c>
      <c r="G76" s="11" t="inlineStr">
        <is>
          <t>보험가입자가 직업상 이륜자동차를 계속적으로 사용하기 시작했는데 이를 알리지 않았다. 이륜자동차 관련 부담보 특약과 계약 후 알릴의무를 구분해 안내해줘.</t>
        </is>
      </c>
      <c r="H76" s="11" t="inlineStr">
        <is>
          <t>additional56</t>
        </is>
      </c>
      <c r="I76" s="11" t="inlineStr">
        <is>
          <t>5점</t>
        </is>
      </c>
      <c r="J76" s="11" t="str"/>
      <c r="K76" s="11" t="inlineStr">
        <is>
          <t>원문 근거에 맞는 직접 답변, 출처 권위 유지, 불확실성의 명시</t>
        </is>
      </c>
      <c r="L76" s="11" t="str"/>
      <c r="M76" s="11" t="str"/>
      <c r="N76" s="11" t="str"/>
      <c r="O76" s="11" t="inlineStr">
        <is>
          <t>미실행</t>
        </is>
      </c>
      <c r="P76" s="11" t="str"/>
      <c r="Q76" s="11" t="str"/>
      <c r="R76" s="11" t="str"/>
      <c r="S76" s="11" t="n"/>
      <c r="T76" s="11" t="n"/>
    </row>
  </sheetData>
  <conditionalFormatting sqref="N2:N76">
    <cfRule type="colorScale" priority="1">
      <colorScale>
        <cfvo type="min"/>
        <cfvo type="percentile" val="50"/>
        <cfvo type="max"/>
        <color rgb="FFFCA5A5"/>
        <color rgb="FFFDE68A"/>
        <color rgb="FF86EFAC"/>
      </colorScale>
    </cfRule>
  </conditionalFormatting>
  <conditionalFormatting sqref="O2:O76">
    <cfRule type="containsText" priority="2" operator="containsText" dxfId="0" text="FAIL"/>
    <cfRule type="containsText" priority="3" operator="containsText" dxfId="1" text="PASS"/>
  </conditionalFormatting>
  <dataValidations count="4">
    <dataValidation sqref="N2:N76" showDropDown="0" showInputMessage="0" showErrorMessage="0" allowBlank="0" type="whole" operator="between">
      <formula1>1</formula1>
      <formula2>5</formula2>
    </dataValidation>
    <dataValidation sqref="O2:O76" showDropDown="0" showInputMessage="0" showErrorMessage="0" allowBlank="0" type="list">
      <formula1>"미실행,PASS,CONDITIONAL,FAIL,BLOCKED"</formula1>
    </dataValidation>
    <dataValidation sqref="P2:P76" showDropDown="0" showInputMessage="0" showErrorMessage="0" allowBlank="0" type="list">
      <formula1>",P0,P1,P2,P3"</formula1>
    </dataValidation>
    <dataValidation sqref="S2:S76" showDropDown="0" showInputMessage="1" showErrorMessage="1" allowBlank="1" errorTitle="입력 오류" error="1부터 5까지의 정수만 입력할 수 있습니다." promptTitle="최종 말풍선 답변 점수" prompt="응답 완료 후 말풍선에 표시된 최종 답변만 1~5점으로 평가하세요." type="whole" errorStyle="stop" operator="between">
      <formula1>1</formula1>
      <formula2>5</formula2>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77"/>
  <sheetViews>
    <sheetView showGridLines="0" workbookViewId="0">
      <selection activeCell="A1" sqref="A1"/>
    </sheetView>
  </sheetViews>
  <sheetFormatPr baseColWidth="8" defaultRowHeight="15"/>
  <cols>
    <col width="16" customWidth="1" min="1" max="1"/>
    <col width="16" customWidth="1" min="2" max="2"/>
    <col width="16" customWidth="1" min="3" max="3"/>
    <col width="24" customWidth="1" min="4" max="4"/>
    <col width="24" customWidth="1" min="5" max="5"/>
    <col width="24" customWidth="1" min="6" max="6"/>
    <col width="70" customWidth="1" min="7" max="7"/>
    <col width="70" customWidth="1" min="8" max="8"/>
    <col width="70" customWidth="1" min="9" max="9"/>
    <col width="16" customWidth="1" min="10" max="10"/>
    <col width="30" customWidth="1" min="11" max="11"/>
    <col width="30" customWidth="1" min="12" max="12"/>
  </cols>
  <sheetData>
    <row r="1" ht="15" customHeight="1">
      <c r="A1" s="8" t="inlineStr">
        <is>
          <t>원본행</t>
        </is>
      </c>
      <c r="B1" s="8" t="inlineStr">
        <is>
          <t>원본 세트</t>
        </is>
      </c>
      <c r="C1" s="8" t="inlineStr">
        <is>
          <t>원본 순번</t>
        </is>
      </c>
      <c r="D1" s="8" t="inlineStr">
        <is>
          <t>case_id</t>
        </is>
      </c>
      <c r="E1" s="8" t="inlineStr">
        <is>
          <t>분류</t>
        </is>
      </c>
      <c r="F1" s="8" t="inlineStr">
        <is>
          <t>문항 유형</t>
        </is>
      </c>
      <c r="G1" s="8" t="inlineStr">
        <is>
          <t>질문</t>
        </is>
      </c>
      <c r="H1" s="8" t="inlineStr">
        <is>
          <t>기존 실제/원래 답변</t>
        </is>
      </c>
      <c r="I1" s="8" t="inlineStr">
        <is>
          <t>수정 답변</t>
        </is>
      </c>
      <c r="J1" s="8" t="inlineStr">
        <is>
          <t>기존 점수</t>
        </is>
      </c>
      <c r="K1" s="8" t="inlineStr">
        <is>
          <t>기존 판정</t>
        </is>
      </c>
      <c r="L1" s="8" t="inlineStr">
        <is>
          <t>기존 코멘트</t>
        </is>
      </c>
    </row>
    <row r="2" ht="528" customHeight="1">
      <c r="A2" s="11" t="n">
        <v>1</v>
      </c>
      <c r="B2" s="11" t="inlineStr">
        <is>
          <t>weak20</t>
        </is>
      </c>
      <c r="C2" s="11" t="n">
        <v>1</v>
      </c>
      <c r="D2" s="11" t="inlineStr">
        <is>
          <t>expanded_20260615_001</t>
        </is>
      </c>
      <c r="E2" s="11" t="inlineStr">
        <is>
          <t>weak20 재승인</t>
        </is>
      </c>
      <c r="F2" s="11" t="inlineStr">
        <is>
          <t>실무 재승인</t>
        </is>
      </c>
      <c r="G2" s="11" t="inlineStr">
        <is>
          <t>상해보험계약 후 알릴의무(계약 후 알릴의무)의 대상이 되는 변경사항은 무엇인가에 대해 약관 기준으로 답변해줘.</t>
        </is>
      </c>
      <c r="H2" s="11" t="inlineStr">
        <is>
          <t>■ 섹션 1️⃣ 【확정 근거】 상해보험계약 후 알릴의무(계약 후 알릴의무)의 대상이 되는 변경사항은 다음과 같습니다: 1. 청약서의 기재사항을 변경하고자 할 때 또는 변경이 생겼음을 알았을 때 2. 주계약의 채무자가 변경되었을 때 3. 주계약의 채권자가 변경되었을 때 4. 주계약 또는 법령상 의무의 금액, 기간 등 회사의 보험금 지급의무 발생에 중대한 영향을 미치는 사항 5. 계약자의 주소 또는 연락처가 변경된 경우 (이 경우 서면 통보 의무는 없으나, 지체 없이 통보해야 함) 이 내용은 ‘표준약관’ 제10조(계약후 알릴의무)에 명시되어 있으며, 상해보험계약 후 알릴의무는 이 조항에 따라 적용됩니다. ■ 섹션 2️⃣ 【검토 필요 사항】 ⚠️ 컨텍스트 7과 8에서 “(상해보험계약 후 알릴의무) p.42” 및 “(알릴 의무 위반의 효과) p.44...</t>
        </is>
      </c>
      <c r="I2" s="11" t="inlineStr">
        <is>
          <t>■ 섹션 1️⃣  【확정 근거】  
상해보험계약 후 알릴 의무의 대상이 되는 변경사항은 다음과 같습니다:  
1. **보험증권 등에 기재된 직업 또는 직무의 변경**  
   - 현재의 직업 또는 직무가 변경된 경우  
   - 직업이 없는 자가 취직한 경우  
   - 현재의 직업을 그만둔 경우  
   - *직업*: 생계유지를 위하여 일정 기간(예: 6개월 이상) 계속하여 종사하는 일. 그에 해당하지 않으면 개인의 사회적 신분에 따른 위치나 자리(예: 학생, 미취학아동, 무직 등)  
   - *직무*: 직책이나 직업상 책임을 지고 담당하여 맡은 일  
2. **보험증권 등에 기재된 피보험자의 운전 목적의 변경**  
   - 예: 자가용에서 영업용으로 변경, 영업용에서 자가용으로 변경 등  
3. **보험증권 등에 기재된 피보험자의 운전여부의 변경**  
   - 예: 비운전자에서 운전자로 변경, 운전자에서 비운전자로 변경 등  
4. **이륜자동차(자동차관리법상 이륜차로 분류되는 삼륜 또는 사륜의 자동차 포함) 또는 원동기장치 자전거(전동킥보드, 전동이륜평행차, 전동기의 동력만으로 움직이는 개인형 이동장치 등)를 계속적으로 사용하게 된 경우**  
   - 단, 전동휠체어, 의료용 스쿠터 등 보행보조용 의자차는 제외  
   - 사용 용도: 직업, 직무, 동호회 활동, 출퇴근용도 등으로 주로 사용하는 경우에 한함  
이 내용은 [표준약관] 제13조(상해보험계약 후 알릴 의무) 및 제15조(상해보험계약 후 알릴 의무)에 명시되어 있으며, 세부 내용은 컨텍스트 1, 2, 3에서 동일하게 반복 확인됩니다.  
■ 섹션 2️⃣  【검토 필요 사항】  
⚠️ 컨텍스트 4 및 5에는 일반적인 “계약후 알릴의무”가 명시되어 있으나, 이는 상해보험에 한정되지 않고 주계약/채권/채무/주소 변경 등에 관한 일반적 의무로, 상해보험 특화 사항은 아닙니다. 따라서 상해보험계약 후 알릴 의무의 핵심 대상으로는 포함하지 않음.  
⚠️ 컨텍스트 6에서는 “보험계약후 알릴의무”를 언급하며 직업·직무 변경을 포함하나, 이는 자사_SOL건강 약관의 해석으로, 표준약관과 동일한 내용을 재확인하는 수준이며, 별도의 추가 항목은 없음.  
■ 섹션
[출처: 표준약관, 제5관 계약자의 계약 전 알릴 의무 등 / 제13조(상해보험계약 후 알릴 의무) ① 계약자 또는 피보험자는 보험기간, p.222-225] [출처: 표준약관, 제 3 관 계약자의 계약 전 알릴 의무 등 / 제15조(상해보험계약 후 알릴 의무) ① 계약자 또는 피보험자는 보험기, p.152-155] [출처: 표준약관, 제5관 계약자의 계약 전 알릴 의무 등 / 제13조(상해보험계약 후 알릴 의무) ① 계약자 또는 피보험자는 보험기, p.328-330]</t>
        </is>
      </c>
      <c r="J2" s="11" t="str"/>
      <c r="K2" s="11" t="inlineStr">
        <is>
          <t>승인</t>
        </is>
      </c>
      <c r="L2" s="11" t="str"/>
    </row>
    <row r="3" ht="435.6000061035156" customHeight="1">
      <c r="A3" s="11" t="n">
        <v>2</v>
      </c>
      <c r="B3" s="11" t="inlineStr">
        <is>
          <t>weak20</t>
        </is>
      </c>
      <c r="C3" s="11" t="n">
        <v>2</v>
      </c>
      <c r="D3" s="11" t="inlineStr">
        <is>
          <t>new_20260702_021</t>
        </is>
      </c>
      <c r="E3" s="11" t="inlineStr">
        <is>
          <t>weak20 재승인</t>
        </is>
      </c>
      <c r="F3" s="11" t="inlineStr">
        <is>
          <t>실무 재승인</t>
        </is>
      </c>
      <c r="G3" s="11" t="inlineStr">
        <is>
          <t>상해 치료 후 한의원에서 피부재생 침치료를 받았고 진료비 전액이 비급여로 표시되었다. 한방의료비에 대한 실손 보상 가능성을 어떻게 안내해야 하나?</t>
        </is>
      </c>
      <c r="H3" s="11" t="inlineStr">
        <is>
          <t>■ 섹션 1️⃣ 【확정 근거】 상해 치료 후 한의원에서 받은 피부재생 침치료는 통원 치료에 해당하며, 진료비 전액이 비급여로 표시되었더라도 실손의료보험에서 보상되지 않습니다. 이유는 다음과 같습니다: 1) 가입한 실손의료보험 상품(2007년 6월 가입)의 약관에 따라, 한의원에서의 **통원의료비는 급여·비급여 모두 보상하지 않는 사항**으로 명시되어 있습니다. 2) 한방 통원치료(예: 침치료)는 국민건강보험 급여 항목이 아니며, 비급여로 분류되더라도 실손의료보험의 보상 범위에서 제외됩니다. 3) 이는 약관상 한방의료비에 대한 지급 범위 제한 조항에 근거하며, 특히 ‘피부재생 침치료’와 같은 한방 치료는 보상 대상에서 제외됩니다. ■ 섹션 2️⃣ 【검토 필요 사항】 ⚠️ 해당 사례는 2007년 가입 상품을 기준으로 하였으나, 현재 가입 상품이 ...</t>
        </is>
      </c>
      <c r="I3" s="11" t="inlineStr">
        <is>
          <t>■ 섹션 1️⃣  【확정 근거】  
상해 치료 후 한의원에서 받은 피부재생 침치료는 ‘한방치료’에 해당하며, 실손의료보험 약관 제4조(보상하지 않는 사항)에서 명시적으로 보상하지 않는 사항으로 규정되어 있습니다.  
특히, 제4조③항 1호에서는 “한방치료(다만, 「의료법」 제2조에 따른 한의사를 제외한 ‘의사’의 의료행위에 의해서 발생한 의료비는 보상합니다)”라고 명시되어 있어, 한의원에서 시행된 침치료는 한방치료에 포함되며, 의사가 아닌 한의사가 수행한 경우 보상 대상이 아닙니다.  
또한, 피부재생을 목적으로 한 침치료는 ‘치료 목적’이 아닌 ‘외모 개선’ 또는 ‘비의료적 목적’에 가까우며, 이는 보상 제외 사항과 일치합니다.  
■ 섹션 2️⃣  【검토 필요 사항】  
⚠️ 침치료가 ‘상해 치료 후’ 진행되었으나, 약관상 상해로 인한 한방치료도 ‘한방치료’로 분류되어 보상 제외 대상입니다.  
→ 상해로 인한 치료라 하더라도, 한방치료는 제4조③항 1호에 따라 보상하지 않음이 명확히 기재되어 있어, 상해 여부와 무관하게 적용됩니다.  
→ 원본(v1) 대응 컨텍스트에서 “한방치료”의 정의가 “한의사가 수행하는 모든 치료행위”로 명시되어 있으나, 보정본(v2)에서도 동일한 내용이 반영되어 있어 충돌 없음.  
■ 섹션 3️⃣  【추가 확인 사항】  
해당 침치료가 ‘비급여’로 표시되었으나, 실손보험은 ‘비급여’ 여부와 무관하게 ‘한방치료’ 자체를 보상 제외 대상으로 규정하고 있습니다.  
→ 비급여 진료비 확인제도(컨텍스트 1)는 보상 여부 판단 근거가 아니며, 단지 비급여 항목의 공개 목적임.  
■ 섹션 4️⃣  【권장 조치】  
- 피보험자에게 “한의원에서의 침치료는 실손의료보험 약관상 보상하지 않는 한방치료에 해당하므로, 보험금 지급이 불가능합니다.”라고 명확히 안내하세요.  
- 대안으로, 의사가 수행한 물리치료(도수치료 등) 또는 병원에서의 상해 관련 비급여 치료(예: 전기자극, 초음파 등)는 보상 가능하므로, 해당 치료로 전환을 권장할 수 있습니다.  
- 한방치료 보상 여부에 대한 명확한 약관
[출처: 약관, 제12관 재가입에 관한 사항 등 / 제1조(보장종목), p.69] [출처: 약관, 제12관 재가입에 관한 사항 등 ............................................................................................. 60 / 제55조(예금보험에 의한 지급보장) ................................................................................................................ 61 / 별표 및 참고의 '약관에서 인용된 법∙규정'을 활용하시면 약관에서 인용한 법률 조항 및 p.131, p.8-31] [출처: 약관, 제12관 재가입에 관한 사항 등 / 제3조(보장종목별 보상내용), p.71-78]</t>
        </is>
      </c>
      <c r="J3" s="11" t="str"/>
      <c r="K3" s="11" t="inlineStr">
        <is>
          <t>승인</t>
        </is>
      </c>
      <c r="L3" s="11" t="str"/>
    </row>
    <row r="4" ht="330" customHeight="1">
      <c r="A4" s="11" t="n">
        <v>3</v>
      </c>
      <c r="B4" s="11" t="inlineStr">
        <is>
          <t>weak20</t>
        </is>
      </c>
      <c r="C4" s="11" t="n">
        <v>3</v>
      </c>
      <c r="D4" s="11" t="inlineStr">
        <is>
          <t>new_20260702_019</t>
        </is>
      </c>
      <c r="E4" s="11" t="inlineStr">
        <is>
          <t>weak20 재승인</t>
        </is>
      </c>
      <c r="F4" s="11" t="inlineStr">
        <is>
          <t>실무 재승인</t>
        </is>
      </c>
      <c r="G4" s="11" t="inlineStr">
        <is>
          <t>통원, 입원, 수술 보험금 청구 시 필요한 확인서류가 어떻게 달라질 수 있는지 기본 제출서류 관점에서 설명해줘.</t>
        </is>
      </c>
      <c r="H4" s="11" t="inlineStr">
        <is>
          <t>제공된 문서 근거에서 확인되는 범위로 답변드립니다. 청구 필요 서류: 아래 원문 근거 행을 우선 확인했습니다. - 근거 1: (입원시) (수술시) (통원시) - 출처: 약관, 제33조 제8조, 별표 및 참고의 '약관에서 인용된 법∙규정'을 활용하시면 약관에서 인용한 법률 조항 및 p.131, p.8-31, chunk=약관_ch_002317, source=text - 근거 2: (입원시) (수술시) (통원시) - 출처: 자사_SOL건강, 제7조, 별표 및 참고의 '특별약관 색인'을 활용하시면 본인이 실제 가입한 특별약관을 쉽게 찾을 수, p.13-44, chunk=자사_SOL건강_ch_002744, source=text 위 내용은 선택된 원문 근거 기준의 구조화 요약입니다. 실제 지급 여부는 가입 담보와 사고/진단 사실 관계를 함께 확인해야 합...</t>
        </is>
      </c>
      <c r="I4" s="11" t="inlineStr">
        <is>
          <t>제공된 문서 근거에서 확인되는 범위로 답변드립니다.
청구 필요 서류: 아래 원문 근거 행을 우선 확인했습니다.
- 근거 1: 급여(상해) 입원치료 : 보장대상의료비의 20%
  - 확인된 수치: 20%
  - 출처: 약관, 제55조(예금보험에 의한 지급보장) ................................................................................................................ 61, 제12관 재가입에 관한 사항 등 ............................................................................................. 60, p.8, chunk=약관_ch_002309, source=clause_detail_rows row_id=약관_ch_002309_text_17
- 근거 2: 급여(질병) 통원치료 : 병원급별 공제금액(1~2만원)과 보장대상 의료비의 20%중 큰 금액
  - 확인된 수치: 2만원, 20%
  - 출처: 약관, 제55조(예금보험에 의한 지급보장) ................................................................................................................ 61, 제12관 재가입에 관한 사항 등 ............................................................................................. 60, p.8, chunk=약관_ch_002309, source=clause_detail_rows row_id=약관_ch_002309_text_18
확인된 수치 요약: 20%, 2만원
위 내용은 선택된 원문 근거 기준의 구조화 요약입니다. 실제 지급 여부는 가입 담보와 사고/진단 사실 관계를 함께 확인해야 합니다.
[출처: 자사_SOL건강, 제2관 보험금의 지급 / 제7조(보험금의 청구), p.48] [출처: 자사_SOL운전자, 제2관 보험금의 지급 / 제7조(보험금의 청구), p.45-46] [출처: 자사_SOL건강, 제7관 분쟁조정 등 ············································································································································· 63 / 제8조(보험금의 지급절차) p.45 / 별표 및 참고의 '특별약관 색인'을 활용하시면 본인이 실제 가입한 특별약관을 쉽게 찾을 수, p.13-44]</t>
        </is>
      </c>
      <c r="J4" s="11" t="str"/>
      <c r="K4" s="11" t="inlineStr">
        <is>
          <t>보류/회귀 유지</t>
        </is>
      </c>
      <c r="L4" s="11" t="inlineStr">
        <is>
          <t>청구서류 및 제출서류에 관한 질문인데, 보험금 지급 비율에 대한 답변을 하고 있음.</t>
        </is>
      </c>
    </row>
    <row r="5" ht="316.7999877929688" customHeight="1">
      <c r="A5" s="11" t="n">
        <v>4</v>
      </c>
      <c r="B5" s="11" t="inlineStr">
        <is>
          <t>weak20</t>
        </is>
      </c>
      <c r="C5" s="11" t="n">
        <v>4</v>
      </c>
      <c r="D5" s="11" t="inlineStr">
        <is>
          <t>expanded_20260615_099</t>
        </is>
      </c>
      <c r="E5" s="11" t="inlineStr">
        <is>
          <t>weak20 재승인</t>
        </is>
      </c>
      <c r="F5" s="11" t="inlineStr">
        <is>
          <t>실무 재승인</t>
        </is>
      </c>
      <c r="G5" s="11" t="inlineStr">
        <is>
          <t>급여 통원치료의 자기부담금은 어떻게 산정하나에 예외나 제한 조건이 있으면 같이 설명해줘.</t>
        </is>
      </c>
      <c r="H5" s="11" t="inlineStr">
        <is>
          <t>제공된 문서 근거에서 확인되는 범위로 답변드립니다. 자기부담금/공제 기준: 아래 원문 근거 행을 우선 확인했습니다. - 근거 1: 자기부담 비율(입원): 통원 공제금액 | 급여: 급여 | 3세대 실손: 외래 : 최소 1~2만원, | 4세대 실손: 최소 1만원(병·의원)주) 최소 2만원(상급·종합병원)주) - 확인된 수치: 3세, 1~2만원, 4세, 1만원, 2만원 - 출처: 상담사례집, p.105, chunk=상담사례집_ch_007008, source=table_json row=1 - 근거 2: 급여(질병) 통원치료 : 병원급별 공제금액(1~2만원)과 보장대상 의료비의 20%중 큰 금액 - 확인된 수치: 1~2만원, 20% - 출처: 약관, 별표 및 참고의 '약관에서 인용된 법∙규정'을 활용하시면 약관에서 인용한 법률 조항 및 p.131, p...</t>
        </is>
      </c>
      <c r="I5" s="11" t="inlineStr">
        <is>
          <t>제공된 문서 근거에서 확인되는 범위로 답변드립니다.
자기부담금/공제 기준: 아래 원문 근거 행을 우선 확인했습니다.
- 근거 1: 급여(질병) 통원치료 : 병원급별 공제금액(1~2만원)과 보장대상 의료비의 20%중 큰 금액
  - 확인된 수치: 2만원, 20%
  - 출처: 약관, 제55조(예금보험에 의한 지급보장) ................................................................................................................ 61, 제12관 재가입에 관한 사항 등 ............................................................................................. 60, p.8, chunk=약관_ch_002309, source=clause_detail_rows row_id=약관_ch_002309_text_18
- 근거 2: 부분은 자기부담률을 30%로 설정하고, 통원의 경우에도 자기부담금을 급여보다
  - 확인된 수치: 30%
  - 출처: 상담사례집, p.101, chunk=상담사례집_ch_006994, source=clause_detail_rows row_id=상담사례집_ch_006994_text_5
확인된 수치 요약: 2만원, 20%, 30%
위 내용은 선택된 원문 근거 기준의 구조화 요약입니다. 실제 지급 여부는 가입 담보와 사고/진단 사실 관계를 함께 확인해야 합니다.
[출처: 약관, 제12관 재가입에 관한 사항 등 ............................................................................................. 60 / 제55조(예금보험에 의한 지급보장) ................................................................................................................ 61 / 별표 및 참고의 '약관에서 인용된 법∙규정'을 활용하시면 약관에서 인용한 법률 조항 및 p.131, p.8-31] [출처: 자사_SOL건강, 제7관 분쟁조정 등 / 제6조(보험금 등의 지급한도), p.326] [출처: 자사_SOL운전자, 제7관 분쟁조정 등 / 제6조(보험금 등의 지급한도), p.164]</t>
        </is>
      </c>
      <c r="J5" s="11" t="str"/>
      <c r="K5" s="11" t="inlineStr">
        <is>
          <t>조건부 승인</t>
        </is>
      </c>
      <c r="L5" s="11" t="inlineStr">
        <is>
          <t>틀린 말은 아니나, 4세대의 경우와 5세대의 경우를 분리해서 설명해주면 답변 품질이 높아질 것 같음.</t>
        </is>
      </c>
    </row>
    <row r="6" ht="198" customHeight="1">
      <c r="A6" s="11" t="n">
        <v>5</v>
      </c>
      <c r="B6" s="11" t="inlineStr">
        <is>
          <t>weak20</t>
        </is>
      </c>
      <c r="C6" s="11" t="n">
        <v>5</v>
      </c>
      <c r="D6" s="11" t="inlineStr">
        <is>
          <t>new_20260702_015</t>
        </is>
      </c>
      <c r="E6" s="11" t="inlineStr">
        <is>
          <t>weak20 재승인</t>
        </is>
      </c>
      <c r="F6" s="11" t="inlineStr">
        <is>
          <t>실무 재승인</t>
        </is>
      </c>
      <c r="G6" s="11" t="inlineStr">
        <is>
          <t>소송 제기, 분쟁조정 신청, 수사기관 조사 때문에 보험금 지급사유 확인이 지연되는 경우 지급예정일 산정이 어떻게 달라지는지 설명해줘.</t>
        </is>
      </c>
      <c r="H6" s="11" t="inlineStr">
        <is>
          <t>■ 섹션 1️⃣ 【확정 근거】 소송 제기, 분쟁조정 신청, 수사기관의 조사로 인해 보험금 지급사유의 조사·확인이 지연되는 경우, 보험금 지급예정일은 제7조(보험금의 청구)에서 정한 서류를 접수한 날부터 **30영업일 이내**로 정해집니다. 이는 일반적인 지급기일(3영업일)을 초과하는 경우에도 예외적으로 허용되는 최대 기간이며, 위 세 가지 사유는 지급예정일 산정에서 **제외 사유**로 명시되어 있어, 해당 사유 발생 시 30영업일 이내에서 지급예정일을 설정합니다. 이 규정은 표준약관, 자사_SOL건강, 자사_SOL운전자, 일반 약관 등 다양한 문서에서 동일하게 적용되며, 소송제기, 분쟁조정 신청, 수사기관의 조사는 모두 지급예정일 산정의 예외 사유로 명시되어 있습니다. ■ 섹션 2️⃣ 【검토 필요 사항】 ⚠️ 컨텍스트 4 및 5(약관)에서는 ...</t>
        </is>
      </c>
      <c r="I6" s="11" t="inlineStr">
        <is>
          <t>제공된 문서 근거에서 확인되는 범위로 답변드립니다.
보험금 지급절차: 검색된 약관 근거에서 다음과 같이 확인됩니다.
- 제8조(보험금의 지급절차)
- 으로 송부하며, 그 서류를 접수한 날부터 3영업일 이내에 보험금을 지급합니다.
- ② 회사가 보험금 지급사유를 조사ㆍ확인하기 위해 필요한 기간이 제1항의 지급기일을 초과할 것이 명백히 예상되는 경
- 우에는 그 구체적 사유와 지급예정일 및 보험금 가지급 제도(회사가 추정하는 보험금의 50% 이내를 지급)에 대하여 피
위 내용은 검색된 조항 문구 기준의 요약이며, 실제 지급 여부는 가입 담보와 사고/진단 사실 관계를 함께 확인해야 합니다.
[출처: 자사_SOL건강, 제2관 보험금의 지급 / 제8조(보험금의 지급절차), p.48-49] [출처: 자사_SOL운전자, 제2관 보험금의 지급 / 제8조(보험금의 지급절차), p.46-47] [출처: 표준약관, 제4관 보험금의 지급 / 제8조(보험금의 지급절차) ① 회사는 제7조(보험금의 청구)에서 정한 서, p.219-221]</t>
        </is>
      </c>
      <c r="J6" s="11" t="str"/>
      <c r="K6" s="11" t="inlineStr">
        <is>
          <t>보류/회귀 유지</t>
        </is>
      </c>
      <c r="L6" s="11" t="inlineStr">
        <is>
          <t>원래답변이 품질이 더 높음.</t>
        </is>
      </c>
    </row>
    <row r="7" ht="409.2000122070312" customHeight="1">
      <c r="A7" s="11" t="n">
        <v>6</v>
      </c>
      <c r="B7" s="11" t="inlineStr">
        <is>
          <t>weak20</t>
        </is>
      </c>
      <c r="C7" s="11" t="n">
        <v>6</v>
      </c>
      <c r="D7" s="11" t="inlineStr">
        <is>
          <t>new_20260702_023</t>
        </is>
      </c>
      <c r="E7" s="11" t="inlineStr">
        <is>
          <t>weak20 재승인</t>
        </is>
      </c>
      <c r="F7" s="11" t="inlineStr">
        <is>
          <t>실무 재승인</t>
        </is>
      </c>
      <c r="G7" s="11" t="inlineStr">
        <is>
          <t>미용 성형 목적 수술, 피임 목적 수술, 검사·진단 목적 수술이 수술급여금 지급대상에서 제외되는지 Claim 실무 기준으로 설명해줘.</t>
        </is>
      </c>
      <c r="H7" s="11" t="inlineStr">
        <is>
          <t>■ 섹션 1️⃣ 【확정 근거】 미용 성형 목적 수술, 피임 목적 수술, 검사·진단 목적 수술은 Claim 실무 기준에 따라 수술급여금 지급대상에서 명시적으로 보장을 제외합니다. - **미용 성형상의 수술**: 모든 문서에서 공통적으로 보장 제외 대상으로 명시됨. - **피임 목적의 수술**: 컨텍스트 3, 4, 7, 8에서는 “피임(避妊) 목적의 수술” 또는 “피임(66%) 목적의 수술”로 명시되며, 보장 제외 대상임. - **검사 및 진단을 위한 수술**: 생검, 복강경 검사 등이 구체적으로 예시로 제시되며, 컨텍스트 3, 4, 7, 8에서 “검사 및 진단을 위한 수술”이 보장 제외 대상으로 명확히 기재됨. 컨텍스트 7과 8(자사_SOL건강)은 보험계약상 수술보험금 지급대상에서의 제외 규정을 명시하며, 이는 Claim 실무의 준용 기준으로 ...</t>
        </is>
      </c>
      <c r="I7" s="11" t="inlineStr">
        <is>
          <t>■ 섹션 1️⃣  【확정 근거】  
미용 성형 목적 수술, 피임 목적 수술, 검사·진단 목적 수술은 Claim 실무 기준에 따라 수술급여금 지급대상에서 명시적으로 제외됩니다.  
- **미용 성형상의 수술**: 모든 문서에서 공통적으로 수술급여금 지급 대상에서 제외됩니다.  
- **피임 목적의 수술**: 모든 문서에서 피임 목적 수술이 지급 제외 대상으로 명시되어 있으며, 일부 문서에서는 ‘피임(避妊)’ 또는 ‘피임(66%)’ 등으로 구체화되어 있습니다.  
- **검사 및 진단을 위한 수술**: 생검, 복강경 검사 등이 구체적인 예시로 명시되어 있으며, 이는 수술이 아닌 진단적 목적의 시술로 간주되어 보상 대상에서 제외됩니다.  
이러한 제외 사항은 실무가이드(p.18, p.32, p.13, p.23)와 자사_SOL건강 약관(p.384-389, p.256-257, p.75-76) 모두에서 일관되게 반영되어 있으며, 수술의 정의와 보상 범위를 명확히 구분하는 실무 기준의 핵심 요소입니다.  
■ 섹션 2️⃣  【검토 필요 사항】  
⚠️ 컨텍스트 2, 5에서 ‘피임(66%)’, ‘피임(660)’ 등 숫자가 포함된 표현은 OCR 오류 가능성 있음. 원본(v1) 대응 컨텍스트에서도 동일한 오류가 반복됨. 정확한 용어는 ‘피임(避妊)’으로 보정본(v2) 기준이므로, 숫자는 무시하고 ‘피임 목적’으로 해석함.  
⚠️ 컨텍스트 1, 3, 5의 ‘복강경 검사( ( ) 몸을 등)’, ‘복강경 검사() 손솔출) 등’ 등 비정상적 텍스트는 OCR 오류로 판단되며, 보정본(v2)인 자사_SOL건강 약관의 ‘복강경 검사(腹腔鏡檢査) 등’이 정확한 표현으로 우선 적용됨.  
■ 섹션 3️⃣  【추가 확인 사항】  
해당 없음  
■ 섹션 4️⃣  【권장 조치】  
해당 없음  
[출처: 실무가이드, p.18, p.32, p.13, p.23 / 자사_SOL건강, 제5조(준용규정) [별표7], p.384-389 / 자사_SOL건강, 제4조(수술의 정의와 장소), p.256-257
[출처: 실무가이드, p.18] [출처: 실무가이드, p.32] [출처: 실무가이드, p.13]</t>
        </is>
      </c>
      <c r="J7" s="11" t="str"/>
      <c r="K7" s="11" t="inlineStr">
        <is>
          <t>승인</t>
        </is>
      </c>
      <c r="L7" s="11" t="str"/>
    </row>
    <row r="8" ht="264" customHeight="1">
      <c r="A8" s="11" t="n">
        <v>7</v>
      </c>
      <c r="B8" s="11" t="inlineStr">
        <is>
          <t>weak20</t>
        </is>
      </c>
      <c r="C8" s="11" t="n">
        <v>7</v>
      </c>
      <c r="D8" s="11" t="inlineStr">
        <is>
          <t>expanded_20260615_082</t>
        </is>
      </c>
      <c r="E8" s="11" t="inlineStr">
        <is>
          <t>weak20 재승인</t>
        </is>
      </c>
      <c r="F8" s="11" t="inlineStr">
        <is>
          <t>실무 재승인</t>
        </is>
      </c>
      <c r="G8" s="11" t="inlineStr">
        <is>
          <t>피보험자가 본인 사례에 적용하려고 한다. 급여(상해·질병) 입원치료의 자기부담금(공제) 비율에 대해 답해줘.</t>
        </is>
      </c>
      <c r="H8" s="11" t="inlineStr">
        <is>
          <t>제공된 문서 근거에서 확인되는 범위로 답변드립니다. 자기부담금/공제 기준: 아래 원문 근거 행을 우선 확인했습니다. - 근거 1: 자기부담 비율(입원): 통원 공제금액 | 급여: 급여 | 3세대 실손: 외래 : 최소 1~2만원, | 4세대 실손: 최소 1만원(병·의원)주) 최소 2만원(상급·종합병원)주) - 확인된 수치: 3세, 1~2만원, 4세, 1만원, 2만원 - 출처: 상담사례집, p.105, chunk=상담사례집_ch_007008, source=table_json row=1 - 근거 2: 자기부담 비율(입원) | 급여 | 3세대 실손 | 4세대 실손 - 확인된 수치: 3세, 4세 - 출처: 상담사례집, p.105, chunk=상담사례집_ch_007008, source=text - 근거 3: 급여(상해) 입원치료 : 보장대상의료비의 20...</t>
        </is>
      </c>
      <c r="I8" s="11" t="inlineStr">
        <is>
          <t>제공된 문서 근거에서 확인되는 범위로 답변드립니다.
자기부담금/공제 기준: 아래 원문 근거 행을 우선 확인했습니다.
- 근거 1: 급여(상해) 입원치료 : 보장대상의료비의 20%
  - 확인된 수치: 20%
  - 출처: 약관, 제55조(예금보험에 의한 지급보장) ................................................................................................................ 61, 제12관 재가입에 관한 사항 등 ............................................................................................. 60, p.8, chunk=약관_ch_002309, source=clause_detail_rows row_id=약관_ch_002309_text_17
확인된 수치 요약: 20%
위 내용은 선택된 원문 근거 기준의 구조화 요약입니다. 실제 지급 여부는 가입 담보와 사고/진단 사실 관계를 함께 확인해야 합니다.
[출처: 약관, 제12관 재가입에 관한 사항 등 ............................................................................................. 60 / 제55조(예금보험에 의한 지급보장) ................................................................................................................ 61 / 별표 및 참고의 '약관에서 인용된 법∙규정'을 활용하시면 약관에서 인용한 법률 조항 및 p.131, p.8-31] [출처: 약관, 제2관 회사가 보상하는 사항 / 제3조(보장종목별 보상내용), p.31-36] [출처: 약관, 제12관 재가입에 관한 사항 등 / 제3조(보장종목별 보상내용), p.71-78]</t>
        </is>
      </c>
      <c r="J8" s="11" t="str"/>
      <c r="K8" s="11" t="inlineStr">
        <is>
          <t>조건부 승인</t>
        </is>
      </c>
      <c r="L8" s="11" t="inlineStr">
        <is>
          <t>틀린 말은 아니나, 4세대의 경우와 5세대의 경우를 분리해서 설명해주면 답변 품질이 높아질 것 같음.</t>
        </is>
      </c>
    </row>
    <row r="9" ht="316.7999877929688" customHeight="1">
      <c r="A9" s="11" t="n">
        <v>8</v>
      </c>
      <c r="B9" s="11" t="inlineStr">
        <is>
          <t>weak20</t>
        </is>
      </c>
      <c r="C9" s="11" t="n">
        <v>8</v>
      </c>
      <c r="D9" s="11" t="inlineStr">
        <is>
          <t>expanded_20260615_083</t>
        </is>
      </c>
      <c r="E9" s="11" t="inlineStr">
        <is>
          <t>weak20 재승인</t>
        </is>
      </c>
      <c r="F9" s="11" t="inlineStr">
        <is>
          <t>실무 재승인</t>
        </is>
      </c>
      <c r="G9" s="11" t="inlineStr">
        <is>
          <t>급여 통원치료의 자기부담금은 어떻게 산정하나에 대해 약관 기준으로 답변해줘.</t>
        </is>
      </c>
      <c r="H9" s="11" t="inlineStr">
        <is>
          <t>제공된 문서 근거에서 확인되는 범위로 답변드립니다. 자기부담금/공제 기준: 아래 원문 근거 행을 우선 확인했습니다. - 근거 1: 부분은 자기부담률을 30%로 설정하고, 통원의 경우에도 자기부담금을 급여보다 - 확인된 수치: 30% - 출처: 상담사례집, p.101, chunk=상담사례집_ch_006994, source=text - 근거 2: 급여(질병) 통원치료 : 병원급별 공제금액(1~2만원)과 보장대상 의료비의 20%중 큰 금액 - 확인된 수치: 1~2만원, 20% - 출처: 약관, 별표 및 참고의 '약관에서 인용된 법∙규정'을 활용하시면 약관에서 인용한 법률 조항 및 p.131, p.8-31, chunk=약관_ch_002309, source=text - 근거 3: 급여(질병) 통원치료 : 공제금액(3만원)과 보장대상의료비의 30%중 큰...</t>
        </is>
      </c>
      <c r="I9" s="11" t="inlineStr">
        <is>
          <t>제공된 문서 근거에서 확인되는 범위로 답변드립니다.
자기부담금/공제 기준: 아래 원문 근거 행을 우선 확인했습니다.
- 근거 1: 급여(질병) 통원치료 : 병원급별 공제금액(1~2만원)과 보장대상 의료비의 20%중 큰 금액
  - 확인된 수치: 2만원, 20%
  - 출처: 약관, 제55조(예금보험에 의한 지급보장) ................................................................................................................ 61, 제12관 재가입에 관한 사항 등 ............................................................................................. 60, p.8, chunk=약관_ch_002309, source=clause_detail_rows row_id=약관_ch_002309_text_18
- 근거 2: 부분은 자기부담률을 30%로 설정하고, 통원의 경우에도 자기부담금을 급여보다
  - 확인된 수치: 30%
  - 출처: 상담사례집, p.101, chunk=상담사례집_ch_006994, source=clause_detail_rows row_id=상담사례집_ch_006994_text_5
확인된 수치 요약: 2만원, 20%, 30%
위 내용은 선택된 원문 근거 기준의 구조화 요약입니다. 실제 지급 여부는 가입 담보와 사고/진단 사실 관계를 함께 확인해야 합니다.
[출처: 약관, 제12관 재가입에 관한 사항 등 ............................................................................................. 60 / 제55조(예금보험에 의한 지급보장) ................................................................................................................ 61 / 별표 및 참고의 '약관에서 인용된 법∙규정'을 활용하시면 약관에서 인용한 법률 조항 및 p.131, p.8-31] [출처: 표준약관, 제10관 분쟁의 조정 등 / 제5조(보험가입금액 한도 등)에서 정한 연간 보험가입금액, p.375-383] [출처: 표준약관, 제10관 분쟁의 조정 등 / 제5조(보험가입금액 한도 등)에서 정한 연간 보험가입금액, p.260-268]</t>
        </is>
      </c>
      <c r="J9" s="11" t="str"/>
      <c r="K9" s="11" t="inlineStr">
        <is>
          <t>조건부 승인</t>
        </is>
      </c>
      <c r="L9" s="11" t="inlineStr">
        <is>
          <t>틀린 말은 아니나, 4세대의 경우와 5세대의 경우를 분리해서 설명해주면 답변 품질이 높아질 것 같음.</t>
        </is>
      </c>
    </row>
    <row r="10" ht="198" customHeight="1">
      <c r="A10" s="11" t="n">
        <v>9</v>
      </c>
      <c r="B10" s="11" t="inlineStr">
        <is>
          <t>weak20</t>
        </is>
      </c>
      <c r="C10" s="11" t="n">
        <v>9</v>
      </c>
      <c r="D10" s="11" t="inlineStr">
        <is>
          <t>new_20260702_014</t>
        </is>
      </c>
      <c r="E10" s="11" t="inlineStr">
        <is>
          <t>weak20 재승인</t>
        </is>
      </c>
      <c r="F10" s="11" t="inlineStr">
        <is>
          <t>실무 재승인</t>
        </is>
      </c>
      <c r="G10" s="11" t="inlineStr">
        <is>
          <t>보험금 청구서류를 접수한 뒤 회사는 원칙적으로 몇 영업일 이내에 보험금을 지급해야 하며, 조사·확인이 필요한 경우에는 어느 정도까지 걸릴 수 있는지 알려줘.</t>
        </is>
      </c>
      <c r="H10" s="11" t="inlineStr">
        <is>
          <t>제공된 문서 근거에서 확인되는 범위로 답변드립니다. 청구 필요 서류: 아래 원문 근거 행을 우선 확인했습니다. - 근거 1: 소액 보험금 청구시 진단서 제출이 면제되는 등 청구서류가 간소화되는 경우도 있으니, - 출처: 자사_SOL건강, 제7조, 별표 및 참고의 '특별약관 색인'을 활용하시면 본인이 실제 가입한 특별약관을 쉽게 찾을 수, p.13-44, chunk=자사_SOL건강_ch_002744, source=text - 근거 2: 소액 보험금 청구시 진단서 제출이 면제되는 등 청구서류가 간소화되는 경우도 있으니, - 출처: 자사_SOL운전자, 제7조, 별표 및 참고의 '특별약관 색인'을 활용하시면 본인이 실제 가입한 특별약관을 쉽게 찾을 수, p.9-41, chunk=자사_SOL운전자_ch_004216, source=text 위 내용은 선...</t>
        </is>
      </c>
      <c r="I10" s="11" t="inlineStr">
        <is>
          <t>제공된 문서 근거에서 확인되는 범위로 답변드립니다.
보험금 지급절차: 검색된 약관 근거에서 다음과 같이 확인됩니다.
- 제8조(보험금의 지급절차)
- 으로 송부하며, 그 서류를 접수한 날부터 3영업일 이내에 보험금을 지급합니다.
- ② 회사가 보험금 지급사유를 조사ㆍ확인하기 위해 필요한 기간이 제1항의 지급기일을 초과할 것이 명백히 예상되는 경
- 우에는 그 구체적 사유와 지급예정일 및 보험금 가지급 제도(회사가 추정하는 보험금의 50% 이내를 지급)에 대하여 피
위 내용은 검색된 조항 문구 기준의 요약이며, 실제 지급 여부는 가입 담보와 사고/진단 사실 관계를 함께 확인해야 합니다.
[출처: 자사_SOL건강, 제2관 보험금의 지급 / 제8조(보험금의 지급절차), p.48-49] [출처: 자사_SOL운전자, 제2관 보험금의 지급 / 제8조(보험금의 지급절차), p.46-47] [출처: 약관, 제4관 보험금의 지급 / 제10조(보험금의 지급절차), p.40-41]</t>
        </is>
      </c>
      <c r="J10" s="11" t="str"/>
      <c r="K10" s="11" t="inlineStr">
        <is>
          <t>보류/회귀 유지</t>
        </is>
      </c>
      <c r="L10" s="11" t="inlineStr">
        <is>
          <t>답변 중에 짤린 부분이 있음.</t>
        </is>
      </c>
    </row>
    <row r="11" ht="250.8000030517578" customHeight="1">
      <c r="A11" s="11" t="n">
        <v>10</v>
      </c>
      <c r="B11" s="11" t="inlineStr">
        <is>
          <t>weak20</t>
        </is>
      </c>
      <c r="C11" s="11" t="n">
        <v>10</v>
      </c>
      <c r="D11" s="11" t="inlineStr">
        <is>
          <t>new_20260702_025</t>
        </is>
      </c>
      <c r="E11" s="11" t="inlineStr">
        <is>
          <t>weak20 재승인</t>
        </is>
      </c>
      <c r="F11" s="11" t="inlineStr">
        <is>
          <t>실무 재승인</t>
        </is>
      </c>
      <c r="G11" s="11" t="inlineStr">
        <is>
          <t>외국에 있는 의료기관에서 발생한 치료비는 실손의료보험에서 보상되나?</t>
        </is>
      </c>
      <c r="H11" s="11" t="inlineStr">
        <is>
          <t>외국에 있는 의료기관에서 발생한 의료비는 실손의료보험에서 보상하지 않습니다. 다만, 해외여행 중에 질병으로 인해 해외 의료기관에서 치료를 받은 경우는 예외적으로 보상됩니다. 구체적으로, **제4조(보상하지 않는 사항)**에서는 「국민건강보험법」 제42조의 요양기관이 아닌 외국에 있는 의료기관에서 발생한 의료비를 보상하지 않는 사항으로 명시하고 있습니다. 그러나 **제3조(보장종목별 보상내용)**에서는 피보험자가 보험증권에 기재된 해외여행 중 질병으로 인해 해외 의료기관에서 의사의 치료를 받은 경우, 보험가입금액을 한도로 실제 부담한 의료비 전액을 보상한다고 규정하고 있습니다. 따라서, 일반적인 외국 의료기관 이용은 보상하지 않으나, **보험증권에 기재된 해외여행 중 발생한 질병 치료비**에 한해 보상됩니다. [출처: 약관, 제4조(보상하지 않...</t>
        </is>
      </c>
      <c r="I11" s="11" t="inlineStr">
        <is>
          <t>외국에 있는 의료기관에서 발생한 치료비는 실손의료보험에서 보상하지 않습니다.
- [약관] 기준: 「국민건강보험법」 제42조의 요양기관이 아닌 외국에 있는 의료기관에서 발생한 의료비는 보상하지 않는 사항으로 명시되어 있습니다.  
- [표준약관] 기준: 동일하게 「국민건강보험법」 제42조의 요양기관이 아닌 외국에 있는 의료기관에서 발생한 의료비는 보상하지 않는 사항으로 규정되어 있습니다.  
이 내용은 [약관] p.80, [표준약관] p.273 및 p.388에서 반복적으로 확인됩니다.  
2세대 이후 표준화된 약관 및 현재 약관 모두 외국 의료기관 치료비를 면책 대상으로 명시하고 있으며, 보상 예외 사항으로 일관되게 적용됩니다.
[출처: 약관, 제4조(보상하지 않는 사항), p.80 / 표준약관, 제4조(보상하지 않는 사항), p.273 / 표준약관, 제4조(보상하지 않는 사항), p.388]
[출처: 약관, 제12관 재가입에 관한 사항 등 ............................................................................................. 60 / 제55조(예금보험에 의한 지급보장) ................................................................................................................ 61 / 별표 및 참고의 '약관에서 인용된 법∙규정'을 활용하시면 약관에서 인용한 법률 조항 및 p.131, p.8-31] [출처: 상담사례집, p.100] [출처: 표준약관, 제10관 분쟁의 조정 등 / 제4조(보상하지 않는 사항) 회사가 보상하지 않는 사항은 보장종목별로, p.268-279]</t>
        </is>
      </c>
      <c r="J11" s="11" t="str"/>
      <c r="K11" s="11" t="inlineStr">
        <is>
          <t>승인</t>
        </is>
      </c>
      <c r="L11" s="11" t="str"/>
    </row>
    <row r="12" ht="409.2000122070312" customHeight="1">
      <c r="A12" s="11" t="n">
        <v>11</v>
      </c>
      <c r="B12" s="11" t="inlineStr">
        <is>
          <t>weak20</t>
        </is>
      </c>
      <c r="C12" s="11" t="n">
        <v>11</v>
      </c>
      <c r="D12" s="11" t="inlineStr">
        <is>
          <t>new_20260702_022</t>
        </is>
      </c>
      <c r="E12" s="11" t="inlineStr">
        <is>
          <t>weak20 재승인</t>
        </is>
      </c>
      <c r="F12" s="11" t="inlineStr">
        <is>
          <t>실무 재승인</t>
        </is>
      </c>
      <c r="G12" s="11" t="inlineStr">
        <is>
          <t>치과질환 K00-K08로 치료받은 경우 질병통원과 질병입원에서 실손 보상 여부가 어떻게 달라질 수 있는지 설명해줘.</t>
        </is>
      </c>
      <c r="H12" s="11" t="inlineStr">
        <is>
          <t>■ 섹션 1️⃣ 【확정 근거】 치과질환(K00∼K08)에 대한 치료는, **질병통원** 및 **질병입원** 모두에서 실손의료보험에서 **보상하지 않습니다**. - **질병통원**: [약관] 및 [표준약관] 모두에서 ‘치과치료(K00∼K08)’를 비급여의료비로 명시하여 보상하지 않는 사항으로 규정하고 있습니다. 이는 통원 치료에 한정되지 않고, 치과질환에 따른 모든 의료비를 포함합니다. - **질병입원**: [상담사례집] p.257에서는 “질병입원의 경우 대상병원에서 제외하고 있지는 않지만, 치아우식증, 치아 및 치주질환 등의 치과질환(K00-K08)을 보상범위에서 제외하고 있음”이라고 명시하여, 입원이라 하더라도 치과질환에 따른 치료는 보상 대상이 아니라고 분명히 밝혔습니다. - [약관] 및 [표준약관] 제4조(보상하지 않는 사항) ③항에서도...</t>
        </is>
      </c>
      <c r="I12" s="11" t="inlineStr">
        <is>
          <t>■ 섹션 1️⃣  【확정 근거】  
치과질환(K00~K08)에 해당하는 치료는 **질병통원** 및 **질병입원** 모두에서 **보상하지 않습니다**.  
- **질병비급여 실손의료비**에서:  
  K00~K08(치아우식증, 치아 및 치주질환 등 치과질환)은 명시적으로 **보상하지 않는 사항**으로 규정되어 있습니다.  
  → [컨텍스트 1, 약관 제4조(보상하지 않는 사항), p.78-84]  
  → [컨텍스트 4, 자사_SOL건강 제4조(보험금을 지급하지 않는 사유), p.260-261]  
  → [컨텍스트 5, 자사_SOL건강 제5조(보험금을 지급하지 않는 사유), p.257-258]  
- **질병입원**에서도 동일하게 적용됩니다.  
  제4조(보상하지 않는 사항)는 입원 및 통원을 구분하지 않고, **“한국표준질병사인분류에 따른 비급여의료비”** 를 전반적으로 보상하지 않는다고 명시하며, K00~K08은 그 목록에 포함됩니다.  
  → [컨텍스트 1, 약관 제4조, p.78-84]  
  → [컨텍스트 4, 자사_SOL건강 제4조, p.260-261]  
- **3대비급여 실손의료비**에서도 K00~K08은 보상 대상이 아닙니다.  
  3대비급여는 “상해 또는 질병의 치료목적으로” 발생한 특정 비급여 의료행위를 보상하나, **K00~K08은 보상 제외 항목**으로 명시되어 있으며, 이는 입원/통원 구분 없이 적용됩니다.  
  → [컨텍스트 7, 약관 제3조(3대비급여), p.71-78]  
- **예외 사항**은 존재하지 않습니다.  
  치과질환에 대한 치료는 **치아관련 치료**로 분류되며, **안면부 골절 등 외상성 상해와 연관되지 않은 경우**에는 입원/통원 모두 보상 불가입니다.  
  → [컨텍스트 2, 약관 제4조, p.78-84] (안면부 골절은 K00~K08과 무관한 질병으로 인한 의료비에 한해 보상 가능하나, 이는 치과질환 자체가 아닌 외상에 의한 경우임)  
따라서, **K00~K08로 인한 치과 치료는 질병입원과
[출처: 약관, 제12관 재가입에 관한 사항 등 / 제4조(보상하지 않는 사항), p.78-84] [출처: 자사_SOL건강, 제7관 분쟁조정 등 / 제5조(보험금을 지급하지 않는 사유), p.257-258] [출처: 자사_SOL건강, 제7관 분쟁조정 등 / 제4조(보험금을 지급하지 않는 사유), p.260-261]</t>
        </is>
      </c>
      <c r="J12" s="11" t="str"/>
      <c r="K12" s="11" t="inlineStr">
        <is>
          <t>보류/회귀 유지</t>
        </is>
      </c>
      <c r="L12" s="11" t="inlineStr">
        <is>
          <t>틀린 답변임. 질병 통원이든 입원이든 급여에 한하여는 보상함.</t>
        </is>
      </c>
    </row>
    <row r="13" ht="462" customHeight="1">
      <c r="A13" s="11" t="n">
        <v>12</v>
      </c>
      <c r="B13" s="11" t="inlineStr">
        <is>
          <t>weak20</t>
        </is>
      </c>
      <c r="C13" s="11" t="n">
        <v>12</v>
      </c>
      <c r="D13" s="11" t="inlineStr">
        <is>
          <t>expanded_20260615_120</t>
        </is>
      </c>
      <c r="E13" s="11" t="inlineStr">
        <is>
          <t>weak20 재승인</t>
        </is>
      </c>
      <c r="F13" s="11" t="inlineStr">
        <is>
          <t>실무 재승인</t>
        </is>
      </c>
      <c r="G13" s="11" t="inlineStr">
        <is>
          <t>자기공명영상진단(MRI/MRA)의 연간 보상한도는?</t>
        </is>
      </c>
      <c r="H13" s="11" t="inlineStr">
        <is>
          <t>■ 섹션 1️⃣ 【확정 근거】 자기공명영상진단(MRI/MRA)의 연간 보상한도는 **200만원**입니다. 이는 표준약관 제3조(보장종목별 보상내용)의 &lt;표1&gt; 공제금액 및 보장한도에서 명시된 내용으로, 비급여 자기공명영상진단에 대해 “계약일 또는 매년 계약해당일부터 1년 단위로 연간 200만원 이내에서 보상”한다고 규정하고 있습니다. 또한, 제5조(보험가입금액 한도 등)에서도 “비급여 자기공명영상진단의 보험가입금액은 제3조 (3)비급여 자기공명영상진단 제1항에서 정한 연간 보장한도로 한다”고 명시하여, 일반 비급여 의료비의 1천만원 한도와 별도로 MRI/MRA는 별도의 200만원 한도가 적용됨을 확인할 수 있습니다. 상담사례집에서는 ‘21년 7월 이후 가입자에 대해 1회 공제금액이 3만원으로 변경되었다’는 내용은 있으나, **연간 보상한도는 ...</t>
        </is>
      </c>
      <c r="I13" s="11" t="inlineStr">
        <is>
          <t>자기공명영상진단(MRI/MRA)의 연간 보상한도는 가입 시점과 적용되는 보험 약관에 따라 문서별로 다릅니다. 아래와 같이 문서별로 명확히 분리하여 설명합니다.
---
■ **[상담사례집] 기준**:  
2017년 4월 1일 이후 가입한 3세대 실손의료보험의 경우, 비급여 MRI는 특약 가입 시에만 보상되며, **연간 300만원 한도**로 보상됩니다.  
2021년 7월 이후 가입한 경우, 공제금액이 1회당 3만원으로 변경되었으나, **연간 보상한도는 여전히 300만원**입니다.  
[출처: 상담사례집, p.236]
---
■ **[표준약관] 기준 (p.400-410, p.286-296, p.260-268)**:  
표준약관에 따르면, 비급여 자기공명영상진단(MRI/MRA)의 **연간 보장한도는 200만원**입니다.  
이는 공제금액이 ‘1회당 5만원과 보장대상의료비의 50% 중 큰 금액’인 경우에 적용됩니다.  
단, **p.260-268**에서는 공제금액이 ‘1회당 3만원과 보장대상의료비의 30% 중 큰 금액’으로 변경된 경우, **연간 보장한도는 300만원**으로 명시되어 있습니다.  
→ 이는 **2021년 7월 이후 개정된 표준약관**을 반영한 것으로 보이며, **200만원과 300만원은 서로 다른 조건(공제금액 기준)에 따른 별도의 적용 사례**입니다.  
- 공제금액: 1회당 5만원 + 50% → **연간 200만원 한도**  
- 공제금액: 1회당 3만원 + 30% → **연간 300만원 한도**  
[출처: 표준약관, 제3조(보장종목별 보상내용), p.400-410 / p.286-296 / p.260-268]
---
■ **[약관] 기준 (p.71-78, p.131)**:  
약관 본문에서는 비급여 MRI/MRA에 대해 **연간 보상한도를 300만원**으로 명시하고 있습니다.  
또한, 이는 보험가입금액(300만원) 한도 내에서 적용되며, **1회당 공제금액은 명시되지 않았으나**, 상담사례집과 표준약관
[출처: 표준약관, 제10관 분쟁의 조정 등 / 제3조(보장종목별 보상내용) 회사가 이 계약의 보험기간 중 보상하거나 공, p.400-410] [출처: 표준약관, 제10관 분쟁의 조정 등 / 제3조(보장종목별 보상내용) 회사가 이 계약의 보험기간 중 보상하거나, p.286-296] [출처: 표준약관, 제10관 분쟁의 조정 등 / 제5조 (보험가입금액 한도 등) ① 이 계약의 연간 보험가입금액은 제3조, p.423-424]</t>
        </is>
      </c>
      <c r="J13" s="11" t="str"/>
      <c r="K13" s="11" t="inlineStr">
        <is>
          <t>보류/회귀 유지</t>
        </is>
      </c>
      <c r="L13" s="11" t="inlineStr">
        <is>
          <t>4세대와 5세대(특약1, 특약2 분리하여)로 분리하여 설명이 필요힘.</t>
        </is>
      </c>
    </row>
    <row r="14" ht="369.6000061035156" customHeight="1">
      <c r="A14" s="11" t="n">
        <v>13</v>
      </c>
      <c r="B14" s="11" t="inlineStr">
        <is>
          <t>weak20</t>
        </is>
      </c>
      <c r="C14" s="11" t="n">
        <v>13</v>
      </c>
      <c r="D14" s="11" t="inlineStr">
        <is>
          <t>new_20260702_030</t>
        </is>
      </c>
      <c r="E14" s="11" t="inlineStr">
        <is>
          <t>weak20 재승인</t>
        </is>
      </c>
      <c r="F14" s="11" t="inlineStr">
        <is>
          <t>실무 재승인</t>
        </is>
      </c>
      <c r="G14" s="11" t="inlineStr">
        <is>
          <t>2007년 개인실손, 2013년 개인실손, 2019년 단체실손에 모두 가입한 사람이 같은 의료비를 청구했다. 2016년 전후 산식 차이를 고려해 어떻게 판단해야 하는지 설명해줘.</t>
        </is>
      </c>
      <c r="H14" s="11" t="inlineStr">
        <is>
          <t>■ 섹션 1️⃣ 【확정 근거】 2016년을 기준으로 실손의료보험의 비례분담 방식이 변경되었습니다. 2016년 이전에 가입한 보험(2007년, 2013년 개인실손)은 이전 방식에 따라 비례분담을 계산하며, 2016년 이후에 가입한 보험(2019년 단체실손)은 변경된 방식에 따라 분담액을 산출합니다. 이에 따라, 동일한 의료비(300만원)를 청구할 경우, A(2007년), B(2013년)는 2016년 이전 방식, C(2019년)는 2016년 이후 방식을 적용받아 각각 다른 산식으로 보험금이 산정됩니다. ■ 섹션 2️⃣ 【검토 필요 사항】 ⚠️ 비례분담의 구체적인 산식(예: 가입금액 비율, 자기부담금 공제 순서, 보조기 포함 여부 등)이 컨텍스트에 명시되지 않아, 각 보험사별 실제 지급액을 정확히 계산할 수 없습니다. ⚠️ 보조기 20만원이 보상 ...</t>
        </is>
      </c>
      <c r="I14" s="11" t="inlineStr">
        <is>
          <t>■ 섹션 1️⃣  【확정 근거】  
2007년과 2013년에 가입한 개인실손의료보험은 2016년 이전의 비례분담 방식에 따라 보험금이 산정되며, 2019년에 가입한 단체실손의료보험은 2016년 이후 개정된 비례분담 방식을 적용받습니다.  
2016년 이전 방식에서는 각 보험의 가입금액을 기준으로 비례분담을 계산하며, 자기부담금 공제는 분담 계산 전에 적용되지 않습니다.  
- 2007년 개인보험(A): 가입금액 200만원 → 분담액 = 280만원 × (200만원 / 676만원) = 828,402원  
- 2013년 개인보험(B): 가입금액 5천만원 → 분담액 = 280만원 × (252만원 / 676만원) = 1,043,787원  
(※ 가입금액 5천만원이지만, 분담 기준 금액은 252만원으로, 이는 자기부담금 10% 공제 후 실제 보상 대상 금액으로 추정됨)  
2016년 이후 방식에서는 단체보험의 경우, **자기부담금 공제를 먼저 적용한 금액**을 기준으로 비례분담을 계산합니다.  
- 2019년 단체보험(C): 가입금액 1천만원, 자기부담금 20% → 실제 보상 대상 금액 = 300만원 × (1 - 0.2) = 240만원 → 분담액 = (280만원 - 0원) × (224만원 / 676만원) = 927,811원  
(※ 224만원은 C의 보상 가능 금액 기준으로, 자기부담금 공제 후 240만원 중 일부가 보험금 지급 한도에 따라 조정된 것으로 보임)  
총 지급액은 828,402 + 1,043,787 + 927,811 = 2,800,000원으로, 실제 의료비 300만원 중 보조기 20만원은 제외된 280만원에 대해 분담됨을 확인할 수 있습니다.  
이러한 차이는 2016년 이후 단체보험의 비례분담 방식이 **자기부담금 공제 후 금액을 기준으로 산정**하도록 변경되었기 때문입니다.  
[출처: [상담사례집], p.243, p.244]  
■ 섹
[출처: 상담사례집, p.243] [출처: 상담사례집, p.244] [출처: 상담사례집, p.97]</t>
        </is>
      </c>
      <c r="J14" s="11" t="str"/>
      <c r="K14" s="11" t="inlineStr">
        <is>
          <t>조건부 승인</t>
        </is>
      </c>
      <c r="L14" s="11" t="inlineStr">
        <is>
          <t>예시가 없는게 더 나음.</t>
        </is>
      </c>
    </row>
    <row r="15" ht="369.6000061035156" customHeight="1">
      <c r="A15" s="11" t="n">
        <v>14</v>
      </c>
      <c r="B15" s="11" t="inlineStr">
        <is>
          <t>weak20</t>
        </is>
      </c>
      <c r="C15" s="11" t="n">
        <v>14</v>
      </c>
      <c r="D15" s="11" t="inlineStr">
        <is>
          <t>expanded_20260615_114</t>
        </is>
      </c>
      <c r="E15" s="11" t="inlineStr">
        <is>
          <t>weak20 재승인</t>
        </is>
      </c>
      <c r="F15" s="11" t="inlineStr">
        <is>
          <t>실무 재승인</t>
        </is>
      </c>
      <c r="G15" s="11" t="inlineStr">
        <is>
          <t>'3대 비급여' 치료에 해당하는 것은?</t>
        </is>
      </c>
      <c r="H15" s="11" t="inlineStr">
        <is>
          <t>'3대 비급여' 치료는 다음과 같습니다: - 도수치료 - 체외충격파치료 - 증식치료 이 외에도, 주사료(항암제, 항생제, 희귀의약품 제외)와 자기공명영상진단(MRI·MRA)이 '3대 비급여' 치료와 함께 보장종목별로 구분되어 정의되며, 실손의료보험 약관에서 이 다섯 가지 항목이 종합적으로 '3대 비급여'로 명시되거나 관련된 비급여 치료 범주로 포함됩니다. 그러나 **정확한 용어 정의에 따르면**, '3대 비급여'는 **도수치료, 체외충격파치료, 증식치료**의 세 가지 치료를 의미하며, 주사료와 자기공명영상진단은 별도로 명시된 추가 비급여 항목입니다. 하지만, 실무 및 상담사례집(컨텍스트 7, 8)에서는 이 세 가지(도수·체외충격파·증식)와 주사료, 자기공명영상진단을 함께 '3대 비급여'로 통칭하여 사용하는 경향이 있으나, **약관상 정의**에...</t>
        </is>
      </c>
      <c r="I15" s="11" t="inlineStr">
        <is>
          <t>'3대 비급여' 치료는 다음과 같습니다:
- **도수치료**  
- **체외충격파치료**  
- **증식치료**  
이 세 치료는 실손의료보험 약관에서 공통적으로 '3대 비급여'로 정의되며, 이는 근골격계 질환의 기능 개선 및 통증 감소를 목적으로 하는 비급여 치료행위입니다.  
또한, '3대 비급여'에는 **주사료**(항암제, 항생제, 희귀의약품 제외)와 **자기공명영상진단**(MRI·MRA)도 포함되며, 이는 보장종목별 특약에서 보상 대상으로 명시된 비급여 항목입니다.  
따라서, '3대 비급여' 치료는 다음과 같이 정의됩니다:  
1. 도수치료  
2. 체외충격파치료  
3. 증식치료  
4. 주사료 (항암제·항생제·희귀의약품 제외)  
5. 자기공명영상진단(MRI·MRA)  
※ 단, 일부 약관에서는 '3대 비급여'를 도수치료·체외충격파치료·증식치료로 한정하고, 주사료와 MRI는 별도의 특약 항목으로 구분하기도 하지만, 전반적인 약관 및 상담사례집에서는 이 다섯 항목을 통합적으로 '3대 비급여' 치료로 간주하고 있습니다.  
[출처: 약관, 제2조(용어의 정의), p.69-70 / 표준약관, 제2조(용어의 정의), p.253-256 / 상담사례집, p.103]
[출처: 약관, 제12관 재가입에 관한 사항 등 / 제2조(용어의 정의), p.69-70] [출처: 표준약관, 제10관 분쟁의 조정 등 / 제2조(용어의 정의) ① 이 특별약관1에서 사용하는 용어의 뜻은 다음과, p.253-256] [출처: 표준약관, 제10관 분쟁의 조정 등 / 제4조(보상하지 않는 사항) 회사가 보상하지 않는 사항은 보장종목별로, p.384-395]</t>
        </is>
      </c>
      <c r="J15" s="11" t="str"/>
      <c r="K15" s="11" t="inlineStr">
        <is>
          <t>승인</t>
        </is>
      </c>
      <c r="L15" s="11" t="str"/>
    </row>
    <row r="16" ht="264" customHeight="1">
      <c r="A16" s="11" t="n">
        <v>15</v>
      </c>
      <c r="B16" s="11" t="inlineStr">
        <is>
          <t>weak20</t>
        </is>
      </c>
      <c r="C16" s="11" t="n">
        <v>15</v>
      </c>
      <c r="D16" s="11" t="inlineStr">
        <is>
          <t>new_20260702_027</t>
        </is>
      </c>
      <c r="E16" s="11" t="inlineStr">
        <is>
          <t>weak20 재승인</t>
        </is>
      </c>
      <c r="F16" s="11" t="inlineStr">
        <is>
          <t>실무 재승인</t>
        </is>
      </c>
      <c r="G16" s="11" t="inlineStr">
        <is>
          <t>4대 중증질환으로 인한 비급여 의료비 보험금이 무사고자 할인 판단에서 어떻게 취급되는지 제한 조건을 포함해 설명해줘.</t>
        </is>
      </c>
      <c r="H16" s="11" t="inlineStr">
        <is>
          <t>4대 중증질환(암/뇌혈관질환/심장질환/희귀난치성 질환)으로 인한 비급여 의료비에 대한 보험금은, 무사고자 할인(10% 할인)의 판단 기준에서 **제외**됩니다. 즉, 이들 질환으로 인해 발생한 비급여 보험금 지급 실적이 있어도, ‘무사고 판정기간’으로 간주되지 않으며, 할인 대상에서 제외되지 않습니다. 이는 4대 중증질환은 의료비 부담이 크고 예측 불가능한 고위험 질환으로 간주되어, 해당 보험금 지급을 ‘사고’로 간주하지 않음으로써 보험료 할인 혜택을 유지하도록 한 제도적 배려입니다. 이러한 제한 조건은 “무사고자 할인 10%” 항목에서 명시적으로 “단, 4대중증질환(암/뇌혈관/심장/희귀난치성 질환)으로 인한 비급여 의료비에 대한 보험금은 제외”라고 규정하고 있습니다. [출처: 약관, 제12관 재가입에 관한 사항 등, p.60] [출처: 약관...</t>
        </is>
      </c>
      <c r="I16" s="11" t="inlineStr">
        <is>
          <t>4대 중증질환(암, 뇌혈관, 심장, 희귀난치성 질환)으로 인한 비급여 의료비 보험금은 무사고자 할인 판단에서 **제외**됩니다.  
즉, 무사고자 할인(10% 할인)의 적용 기준은 “직전 2년 간 유효한 실손의료보험 계약에서 비급여 보험금 지급실적이 없는 경우”이지만, **4대 중증질환에 해당하는 비급여 의료비는 이 지급실적에서 제외**되어 할인 판단 대상이 되지 않습니다. 이는 보험사가 의료취약계층의 보험료 부담을 완화하고, 중증질환 환자의 보험 이용을 제한하지 않기 위한 특별한 예외 조항입니다.  
이와 같은 제한 조건은 실손의료보험 약관의 요율 상대도(할인·할증) 산정 시에도 동일하게 적용되며, 4대 중증질환으로 인한 비급여 보험금은 할인·할증 계산의 기준이 되는 “보험금 지급실적”에서 배제됩니다.  
[출처: 약관, 제6조(보험료의 계산), p.83]  
[출처: 약관, 제12관 재가입에 관한 사항 등, p.60]  
[출처: 상담사례집, p.266]  
[출처: 상담사례집, p.101]
[출처: 약관, 제12관 재가입에 관한 사항 등 ............................................................................................. 60 / 제55조(예금보험에 의한 지급보장) ................................................................................................................ 61 / 별표 및 참고의 '약관에서 인용된 법∙규정'을 활용하시면 약관에서 인용한 법률 조항 및 p.131, p.8-31] [출처: 상담사례집, p.104] [출처: 상담사례집, p.264]</t>
        </is>
      </c>
      <c r="J16" s="11" t="str"/>
      <c r="K16" s="11" t="inlineStr">
        <is>
          <t>승인</t>
        </is>
      </c>
      <c r="L16" s="11" t="str"/>
    </row>
    <row r="17" ht="356.3999938964844" customHeight="1">
      <c r="A17" s="11" t="n">
        <v>16</v>
      </c>
      <c r="B17" s="11" t="inlineStr">
        <is>
          <t>weak20</t>
        </is>
      </c>
      <c r="C17" s="11" t="n">
        <v>16</v>
      </c>
      <c r="D17" s="11" t="inlineStr">
        <is>
          <t>new_20260702_047</t>
        </is>
      </c>
      <c r="E17" s="11" t="inlineStr">
        <is>
          <t>weak20 재승인</t>
        </is>
      </c>
      <c r="F17" s="11" t="inlineStr">
        <is>
          <t>실무 재승인</t>
        </is>
      </c>
      <c r="G17" s="11" t="inlineStr">
        <is>
          <t>감마나이프 수술처럼 입원하지 않고 수술을 받은 경우 입원의료비 지급 여부가 약관상 명확하지 않다. 약관해석 원칙상 어떤 방향으로 검토해야 하나?</t>
        </is>
      </c>
      <c r="H17" s="11" t="inlineStr">
        <is>
          <t>■ 섹션 1️⃣ 【확정 근거】 감마나이프 수술처럼 입원하지 않고 수술을 받은 경우, 약관상 ‘입원의료비’의 지급 여부는 ‘입원’이라는 용어의 명확한 의미에 기반하여 해석되어야 합니다. 금융감독원 분쟁조정위원회는 ‘입원’이라는 단어의 의미가 너무나 분명하여 이를 ‘입원에 준하여’로 해석하는 것은 무리가 있으며, 입원여부는 의사의 판단에 따라 결정되므로, 입원하지 않은 경우 입원의료비를 지급할 책임이 없다고 판단하였습니다. 또한, 의료비의 보상 담보는 의료행위가 입원 치료 중에 발생했는지 통원 치료 중에 발생했는지에 따라 결정되며, 질병의 경중이나 연관성만으로는 입원에 준하여 처리할 수 없습니다. ■ 섹션 2️⃣ 【검토 필요 사항】 ⚠️ 약관의 구체적인 조항(예: 제2조(입원의료비))이 본 컨텍스트에 명시되지 않아, ‘입원에 준하여’라는 해석이 ...</t>
        </is>
      </c>
      <c r="I17" s="11" t="inlineStr">
        <is>
          <t>■ 섹션 1️⃣  【확정 근거】  
감마나이프 수술처럼 입원하지 않고 수술을 받은 경우, 약관상 ‘입원의료비’의 지급 여부는 ‘입원’이라는 용어의 명확한 의미에 기반하여 해석되어야 합니다. 금융감독원 분쟁조정위원회는 ‘입원’이라는 단어의 의미가 너무나 분명하여 이를 ‘입원에 준하여’로 해석하는 것은 무리이며, 입원 여부는 의사의 판단에 따라 결정되므로, 입원하지 않은 경우 입원의료비를 지급할 책임이 없다고 판단하였습니다. 또한, 보험계약의 해석은 평균적 고객의 이해 가능성을 기준으로 객관적·획일적으로 이루어져야 하며, 약관이 다의적으로 해석될 경우 고객에게 유리하게 해석해야 하지만, 이 사례에서는 ‘입원’의 의미가 명확하므로 고객 유리 해석의 전제가 성립하지 않습니다. 따라서 입원하지 않은 수술은 입원의료비가 아닌 통원의료비로 처리되어야 합니다.
■ 섹션 2️⃣  【검토 필요 사항】  
⚠️ 컨텍스트에서 “감마나이프 수술”이라는 구체적인 수술명이 약관에 명시되어 있는지 확인되지 않음.  
⚠️ ‘당일입원’과 ‘통원’의 구분은 [자사_SOL운전자] p.82에서 명확히 정의되었으나, 감마나이프 수술이 해당 정의에 정확히 부합하는지 의료행위의 성격(예: 마취 방식, 절개 여부, 입원 필요성)에 대한 추가 의료적 근거가 필요함.  
⚠️ 보험사가 ‘입원 불필요’를 판단하는 기준(예: 합병증 유무, 경과 관찰 필요성)이 약관에 명시되어 있는지 확인되지 않음.  
■ 섹션 3️⃣  【추가 확인 사항】  
- 감마나이프 수술이 ‘당일입원’에 해당하는지, 아니면 ‘통원’에 해당하는지에 대한 의료적 정의(예: 수술 후 관찰 시간, 입원 기준 병원 규정 등)  
- 해당 보험상품의 약관에 ‘당일입원 수술’과 ‘통원 수술’의 보상 구분이 명시되어 있는지 (컨텍스트 7 참조)  
- 금감원 분조위 제2003-43호의 구체적 판단 내용 중 ‘입원의 연속선상’ 개념이 감마나이프 수술에 적용될 수 있는지 여부  
■ 섹션 4️⃣  【권장 조치】  
- 보험사 내부에서는 감마나이프 수술과 같은 비입원 수술에 대해 ‘당일입원’ 또는 ‘통원’
[출처: 상담사례집, p.247] [출처: 상담사례집, p.246] [출처: 상담사례집, p.248]</t>
        </is>
      </c>
      <c r="J17" s="11" t="str"/>
      <c r="K17" s="11" t="inlineStr">
        <is>
          <t>조건부 승인</t>
        </is>
      </c>
      <c r="L17" s="11" t="inlineStr">
        <is>
          <t>이런 내용은 차라리 명확히 답변할 수 없다로 답하도록 규정 필요.</t>
        </is>
      </c>
    </row>
    <row r="18" ht="448.7999877929688" customHeight="1">
      <c r="A18" s="11" t="n">
        <v>17</v>
      </c>
      <c r="B18" s="11" t="inlineStr">
        <is>
          <t>weak20</t>
        </is>
      </c>
      <c r="C18" s="11" t="n">
        <v>17</v>
      </c>
      <c r="D18" s="11" t="inlineStr">
        <is>
          <t>expanded_20260615_041</t>
        </is>
      </c>
      <c r="E18" s="11" t="inlineStr">
        <is>
          <t>weak20 재승인</t>
        </is>
      </c>
      <c r="F18" s="11" t="inlineStr">
        <is>
          <t>실무 재승인</t>
        </is>
      </c>
      <c r="G18" s="11" t="inlineStr">
        <is>
          <t>고객센터 상담 중 고객이 "계약자가 제2회 이후 보험료를 미납했을 때 보험회사가 할 수 있는 것들은?"라고 물었다. 어떻게 안내해야 하나?</t>
        </is>
      </c>
      <c r="H18" s="11" t="inlineStr">
        <is>
          <t>제공된 컨텍스트에는 계약자가 제2회 이후 보험료를 미납했을 때 보험회사가 할 수 있는 조치(예: 계약 해지, 보험금 지급 정지, 유예기간, 계약 정지 등)에 대한 내용이 **아직 명시되어 있지 않습니다**. 모든 컨텍스트는 **보험료 납입 의무**(제24조 또는 제26조)와 **납입기일**, **영수증 발행 방식**에 대한 내용만을 다루고 있으며, **미납 시의 법적·계약적 대응 조치**에 대한 규정은 포함되어 있지 않습니다. 따라서 고객의 질문에 대한 정확한 안내를 위해서는 **보험료 미납 시의 계약 해지 절차**, **유예기간**, **계약 정지 조건** 등에 대한 관련 조항(예: 제27조 또는 제28조 등)이 필요합니다. 현재 제공된 문서에서는 이를 확인할 수 없습니다. ■ 섹션 1️⃣ 【확정 근거】 - 계약자는 제2회 이후 보험료를 납...</t>
        </is>
      </c>
      <c r="I18" s="11" t="inlineStr">
        <is>
          <t>■ 섹션 1️⃣  【확정 근거】  
계약자가 제2회 이후 보험료를 미납한 경우, 보험회사는 다음과 같은 조치를 할 수 있습니다:  
1. **납입최고(독촉)**: 보험료 납입기일 이후 연체가 발생하면, 회사는 14일(보험기간이 1년 미만인 경우 7일) 이상의 납입최고기간을 정하여, 서면(등기우편 등), 전화(음성녹음), 또는 전자문서로 계약자(또는 보험수익자)에게 연체보험료 납입을 요구합니다.  
2. **계약 해지**: 납입최고기간이 끝나는 날까지 보험료를 납입하지 않으면, 그 다음 날에 계약이 자동 해지됩니다. 이때, 해지 전에 발생한 보험금 지급사유에 대해서는 여전히 보상합니다.  
3. **해약환급금 차감**: 계약이 해지되면, 해약환급금에서 보험계약대출 원금과 이자가 차감됩니다.  
이러한 절차는 표준약관 제26조(제2회 이후 보험료의 납입) 및 제26조(보험료의 납입이 연체되는 경우 납입최고와 계약의 해지)에 명시되어 있으며, 납입최고기간과 해지 효과는 명확히 규정되어 있습니다.  
■ 섹션 2️⃣  【검토 필요 사항】  
⚠️ 컨텍스트 1과 컨텍스트 7에서 “제2회부터의 보험료”와 “제2회 이후의 보험료”라는 표현이 혼용되어 사용됨.  
- 컨텍스트 1, 6: “제2회부터의 보험료”  
- 컨텍스트 2~5, 7: “제2회 이후의 보험료”  
→ 이는 동일한 의미로 해석되나, 문서 간 용어 일관성 부족으로 인해 고객 혼동 가능성 있음.  
→ **확인 필요**: 보험사 내부 규정에서 “제2회부터”와 “제2회 이후”를 동일하게 적용하는지 여부.  
■ 섹션 3️⃣  【추가 확인 사항】  
해당 없음  
■ 섹션 4️⃣  【권장 조치】  
1. 고객에게 “납입최고기간(14일) 내 납입 시 계약 유지 가능”임을 명확히 안내하고,  
2. 납입최고기간 종료 후 해지됨을 경고하며,  
3. 해지 전 발생한 보험사고는 보상됨을 강조하여 불안 해소,  
4. 금융기관을 통한 납입 시 증빙서류로 영수증 대체 가능함을 안내.  
[출처: 표준약관, 제2
[출처: 표준약관, 제7관 보험료의 납입 / 제25조(제2회 이후 보험료의 납입) 계약자는 제2회부터의 보험료를 납입, p.341-344] [출처: 표준약관, 제5관 보험료의 납입 / 제26조(제2회 이후 보험료의 납입) 계약자는 제2회 이후의 보험료를 납입기, p.439] [출처: 표준약관, 제5관 보험료의 납입 / 제26조(제2회 이후 보험료의 납입) 계약자는 제2회 이후의 보험료를 납, p.69]</t>
        </is>
      </c>
      <c r="J18" s="11" t="str"/>
      <c r="K18" s="11" t="inlineStr">
        <is>
          <t>승인</t>
        </is>
      </c>
      <c r="L18" s="11" t="str"/>
    </row>
    <row r="19" ht="343.2000122070312" customHeight="1">
      <c r="A19" s="11" t="n">
        <v>18</v>
      </c>
      <c r="B19" s="11" t="inlineStr">
        <is>
          <t>weak20</t>
        </is>
      </c>
      <c r="C19" s="11" t="n">
        <v>18</v>
      </c>
      <c r="D19" s="11" t="inlineStr">
        <is>
          <t>new_20260702_024</t>
        </is>
      </c>
      <c r="E19" s="11" t="inlineStr">
        <is>
          <t>weak20 재승인</t>
        </is>
      </c>
      <c r="F19" s="11" t="inlineStr">
        <is>
          <t>실무 재승인</t>
        </is>
      </c>
      <c r="G19" s="11" t="inlineStr">
        <is>
          <t>자동차보험이나 산재보험에서 보상받는 의료비가 실손의료보험에서 다시 보상되는지 핵심만 정리해줘.</t>
        </is>
      </c>
      <c r="H19" s="11" t="inlineStr">
        <is>
          <t>자동차보험이나 산재보험에서 이미 보상받은 의료비는 실손의료보험에서 보상하지 않습니다. 다만, 자동차보험이나 산재보험에서 과실상계 등으로 인해 피보험자가 실제로 본인이 부담한 의료비(본인부담금)에 대해서는 실손의료보험에서 보상 가능합니다. 이 경우, 2016년 1월 이후 가입한 상품은 본인부담의료비의 80%를, 2015년 12월 이전 상품은 40%를 보상합니다. 단, 비급여의료비와 자동차보험/산재보험에서 발생한 본인부담의료비는 기본형 실손의료보험에서 보상하지 않는 특별약관이 적용됩니다. [출처: 심평원, [상담사례집] 제2절 무보험자동차에 의한 상해, p.259-260] [출처: 약관, 제3관 제5조, p.38] [출처: 심평원, [상담사례집], p.100] [출처: 상담사례집, 제2절 무보험자동차에 의한 상해, p.259] [출처: 상담사례집...</t>
        </is>
      </c>
      <c r="I19" s="11" t="inlineStr">
        <is>
          <t>자동차보험 또는 산재보험에서 보상받는 의료비에 대해 실손의료보험에서의 보상 여부는 다음과 같이 문서별로 명확히 구분됩니다:
- **[약관] 기준**:  
  자동차보험(공제 포함) 또는 산재보험에서 보상받는 **치료관계비** 또는 **의료비**는 기본적으로 **보상하지 않습니다**.  
  다만, **본인부담의료비**(자동차보험 진료수가 기준 또는 산재보험 요양급여 산정기준에 따라 발생한 실제 본인 부담금)는, **보장종목별로 구분하여 보상 가능**합니다.  
  - 상해급여: 제3조(1) 상해급여 제1항~제8항에 따라 보상  
  - 질병비급여: 제3조(2) 질병비급여 제1항~제8항에 따라 보상  
  - 3대비급여: 제3조(3) 3대비급여 제1항~제7항에 따라 보상  
  → 즉, **보험사가 보상한 금액(과실상계 후)은 중복보상 불가**하나, **피보험자가 실제로 부담한 본인부담금은 보상 대상**입니다.
- **[자사_SOL건강] 기준**:  
  제공된 컨텍스트에서 자동차보험 또는 산재보험 관련 보상 규정은 **명시되지 않았습니다**.  
  따라서 자사_SOL건강 문서에서는 이에 대한 **직접적인 규정 또는 예외 조항이 확인되지 않음**.
※ 참고: 약관은 자동차보험/산재보험 보상액과 실손의료보험 보상액의 **중복보상 금지** 원칙을 명시하면서도, **실제 본인부담금**에 대해서는 예외적으로 보상 가능함을 분명히 하고 있습니다.  
자사_SOL건강 문서에서는 이와 관련된 내용이 누락되어 있어, 보상 기준은 **약관에만 명시**되어 있습니다.
[출처: 약관, 제4조(보상하지 않는 사항), p.36-38 / 약관, 제4조(보상하지 않는 사항), p.78-84]
[출처: 약관, 제3관 회사가 보상하지 않는 사항 / 제5조(특별약관에서 보상하는 사항), p.38] [출처: 약관, 제3관 회사가 보상하지 않는 사항 / 제4조(보상하지 않는 사항), p.36-38] [출처: 약관, 제12관 재가입에 관한 사항 등 / 제4조(보상하지 않는 사항), p.78-84]</t>
        </is>
      </c>
      <c r="J19" s="11" t="str"/>
      <c r="K19" s="11" t="inlineStr">
        <is>
          <t>승인</t>
        </is>
      </c>
      <c r="L19" s="11" t="str"/>
    </row>
    <row r="20" ht="409.2000122070312" customHeight="1">
      <c r="A20" s="11" t="n">
        <v>19</v>
      </c>
      <c r="B20" s="11" t="inlineStr">
        <is>
          <t>weak20</t>
        </is>
      </c>
      <c r="C20" s="11" t="n">
        <v>19</v>
      </c>
      <c r="D20" s="11" t="inlineStr">
        <is>
          <t>expanded_20260615_158</t>
        </is>
      </c>
      <c r="E20" s="11" t="inlineStr">
        <is>
          <t>weak20 재승인</t>
        </is>
      </c>
      <c r="F20" s="11" t="inlineStr">
        <is>
          <t>실무 재승인</t>
        </is>
      </c>
      <c r="G20" s="11" t="inlineStr">
        <is>
          <t>회사가 '중대사유'로 계약을 해지할 수 있는 경우에 예외나 제한 조건이 있으면 같이 설명해줘.</t>
        </is>
      </c>
      <c r="H20" s="11" t="inlineStr">
        <is>
          <t>■ 섹션 1️⃣ 【확정 근거】 회사가 '중대사유'로 계약을 해지할 수 있는 경우는 다음과 같습니다: 1. 계약자, 피보험자 또는 보험수익자가 보험금을 지급받을 목적으로 고의로 보험금 지급사유(상해 또는 질병)를 발생시킨 경우. 2. 계약자, 피보험자 또는 보험수익자가 보험금 청구에 관한 서류에 고의로 사실과 다른 내용을 기재하였거나, 서류 또는 증거를 위조·변조한 경우. 이러한 해지에는 다음과 같은 예외 및 제한 조건이 있습니다: - **보험금 지급사유가 이미 발생한 경우**: 위조·변조 또는 허위 기재가 있었더라도, **보험금 지급사유가 이미 발생한 경우에는 보험금 지급에 영향을 미치지 않습니다**. 즉, 사후에 허위 서류를 제출했더라도 실제 질병이나 상해가 이미 발생했다면, 보험금 지급은 정상적으로 이루어지며, 이로 인해 계약 해지의 정당...</t>
        </is>
      </c>
      <c r="I20" s="11" t="inlineStr">
        <is>
          <t>■ 섹션 1️⃣  【확정 근거】  
회사는 다음의 중대사유가 있을 경우, 그 사실을 안 날부터 1개월 이내에 계약을 해지할 수 있습니다:  
1. 계약자, 피보험자 또는 보험수익자가 보험금을 지급받을 목적으로 고의로 보험금 지급사유를 발생시킨 경우.  
2. 계약자, 피보험자 또는 보험수익자가 보험금 청구에 관한 서류에 고의로 사실과 다른 것을 기재하였거나, 그 서류 또는 증거를 위조 또는 변조한 경우.  
이러한 중대사유에 대한 예외 조건으로, **이미 보험금 지급사유가 발생한 경우에는 보험금 지급에 영향을 미치지 않습니다**. 즉, 고의로 서류를 위조하거나 변조했더라도, 실제 발생한 보험금 지급사유에 대해서는 보험금을 지급해야 합니다. 이는 보험금 지급의 실질적 기초가 되는 사고나 질병의 발생 자체가 고의적 행위와 무관하게 인정될 경우, 보험금 지급 의무가 유지된다는 의미입니다.  
이러한 예외는 여러 약관 버전(제30조, 제31조, 제32조, 제33조)에서 일관되게 명시되어 있으며, 특히 [자사_SOL건강]과 [약관]에서는 “이미 발생한 보험금 지급사유에 대한 보험금 지급”이라는 예시안내를 통해 명확히 보완하고 있습니다.  
■ 섹션 2️⃣  【검토 필요 사항】  
⚠️ 일부 문서(컨텍스트 1, 2)에서는 “상해 또는 질병을 발생시킨 경우”로 표현되어 있으나, 2021.7.1 개정 이후 대부분의 문서(컨텍스트 4~8)는 “보험금 지급사유를 발생시킨 경우”로 통일되었습니다. 이는 보험금 지급사유의 범위를 질병·상해에 국한하지 않고, 보험금 청구의 핵심 요건(예: 입원, 수술, 진단 등)으로 확장한 것으로 해석되나, 구체적 적용 기준은 추가 해석이 필요합니다.  
⚠️ ‘보험수익자’가 포함된 문서(컨텍스트 1, 2, 3, 8)와 제외된 문서(컨텍스트 6, 7) 간 차이가 존재합니다. 보험수익자의 고의행위에 대한 적용 범위에 대한 일관성 확보가 필요합니다.  
■ 섹션 3️⃣  【추가 확인 사항】  
해당 중대사유 해지의 절차적 요건(예: 통지 방식, 증거 확보 기준, 고의성 입증 기준 등)에 대한 구체적 운영지침은 제공된 컨텍스트
[출처: 표준약관, 제8관 계약의 해지 및 해약환급금 등 / 제30조(중대사유로 인한 해지) ① 회사는 다음과 같은 사실이 있을 경우, p.345-346] [출처: 표준약관, 제8관 계약의 해지 및 해약환급금 등 / 제32조(중대사유로 인한 해지) ① 회사는 다음과 같은 사실이 있을 경우, p.242] [출처: 약관, 제8관 계약의 해지 및 해약환급금 등 / 제33조(중대사유로 인한 해지), p.56]</t>
        </is>
      </c>
      <c r="J20" s="11" t="str"/>
      <c r="K20" s="11" t="inlineStr">
        <is>
          <t>승인</t>
        </is>
      </c>
      <c r="L20" s="11" t="str"/>
    </row>
    <row r="21" ht="396" customHeight="1">
      <c r="A21" s="11" t="n">
        <v>20</v>
      </c>
      <c r="B21" s="11" t="inlineStr">
        <is>
          <t>weak20</t>
        </is>
      </c>
      <c r="C21" s="11" t="n">
        <v>20</v>
      </c>
      <c r="D21" s="11" t="inlineStr">
        <is>
          <t>new_20260702_026</t>
        </is>
      </c>
      <c r="E21" s="11" t="inlineStr">
        <is>
          <t>weak20 재승인</t>
        </is>
      </c>
      <c r="F21" s="11" t="inlineStr">
        <is>
          <t>실무 재승인</t>
        </is>
      </c>
      <c r="G21" s="11" t="inlineStr">
        <is>
          <t>직전 2년 동안 무사고 판정기간에 비급여 보험금 지급실적이 없으면 보험료 할인이 적용될 수 있는지 약관 기준으로 설명해줘.</t>
        </is>
      </c>
      <c r="H21" s="11" t="inlineStr">
        <is>
          <t>직전 2년 동안 무사고 판정기간에 비급여 보험금 지급실적이 없으면, 보험료에 10% 할인이 적용될 수 있습니다. 이에 대한 근거는 약관에서 다음과 같이 명시되어 있습니다: &gt; “할인10%: 직전 2년 간 유효한 실손의료 보험 계약에서 '무사고 판정기간' 동안 비급여 보험금 지급실적이 없는 경우 영업보험료의 10%를 할인하여 드립니다. [단, 4대중증질환(암/뇌혈관/심장/희귀난치성 질환)으로 인한 비급여 의료비에 대한 보험금은 제외]” 이 규정은 비급여 보험금 지급 실적이 **전체 2년간 없을 경우**에만 적용되며, 4대중증질환에 의한 지급은 제외 대상입니다. 따라서, 2년간 단 한 건의 비급여 보험금 지급도 없었다면 10% 할인이 적용되며, 4대중증질환 관련 지급이 있더라도 그 외의 비급여 지급이 없다면 여전히 할인 대상이 됩니다. 또한, 이...</t>
        </is>
      </c>
      <c r="I21" s="11" t="inlineStr">
        <is>
          <t>■ 섹션 1️⃣  【확정 근거】  
직전 2년 동안 무사고 판정기간에 비급여 보험금 지급실적이 없으면, 보험료에 10% 할인이 적용됩니다. 이는 실손의료보험 약관 제6조(보험료의 계산) 및 관련 별표에서 명시된 요율 상대도 적용 기준에 따라, ‘직전 2년 간 유효한 실손의료 보험 계약에서 무사고 판정기간 동안 비급여 보험금 지급실적이 없는 경우’에 해당하며, 이 경우 영업보험료의 10%를 할인합니다. 단, 4대중증질환(암, 뇌혈관질환, 심장질환, 희귀난치성 질환)으로 인한 비급여 의료비는 이 할인의 적용 대상에서 제외됩니다.  
이 규정은 약관에서 “할인10%” 항목에 명시되어 있으며, 할인 적용 조건으로 ‘직전 2년 간 무사고’를 명확히 요구하고 있습니다. 또한, 이는 갱신 시 요율 상대도 산정의 일환으로, 비급여 지급실적이 0원인 경우 1단계(할인)로 분류되며, 10% 할인은 이 구간의 정해진 적용률입니다.  
■ 섹션 2️⃣  【검토 필요 사항】  
⚠️ 약관에서 “직전 2년 간 무사고”라는 표현은 ‘동일 보험사 내에서의 연속된 계약 기간’을 의미하는지, 아니면 ‘다른 보험사의 이전 계약도 포함’하는지에 대한 명확한 정의가 부재합니다.  
⚠️ “무사고 판정기간”이 계약 갱신일 기준으로 정확히 몇 개월을 의미하는지(예: 갱신일 전 24개월 전체인지, 계약 시작일 기준인지)에 대한 구체적 기준이 약관 본문에 명시되지 않아, 사업방법서와의 일치 여부를 추가 확인이 필요합니다.  
■ 섹션 3️⃣  【추가 확인 사항】  
해당 할인은 “4대중증질환으로 인한 비급여 의료비는 제외”되며, 이에 대한 정의(예: 진단코드 기준, 치료내역 기준)는 별도의 사업방법서 또는 보상가이드북에서 상세히 정의될 수 있습니다. 현재 컨텍스트에는 이에 대한 구체적 기준이 포함되어 있지 않아, 실제 적용 시 보험사 내부 지침과의 일치 확인이 필요합니다.  
■ 섹션 4️⃣  【권장 조치】  
가입자는 보험료 할인을 받기 위해, 직전 2년간 비급여 보험금
[출처: 상담사례집, p.267] [출처: 약관, 제12관 재가입에 관한 사항 등 ............................................................................................. 60 / 제55조(예금보험에 의한 지급보장) ................................................................................................................ 61 / 별표 및 참고의 '약관에서 인용된 법∙규정'을 활용하시면 약관에서 인용한 법률 조항 및 p.131, p.8-31] [출처: 약관, 제11관 자동갱신에 관한 사항 등 / 제52조(갱신보험료의 계산), p.61]</t>
        </is>
      </c>
      <c r="J21" s="11" t="str"/>
      <c r="K21" s="11" t="inlineStr">
        <is>
          <t>승인</t>
        </is>
      </c>
      <c r="L21" s="11" t="str"/>
    </row>
    <row r="22" ht="528" customHeight="1">
      <c r="A22" s="11" t="n">
        <v>21</v>
      </c>
      <c r="B22" s="11" t="inlineStr">
        <is>
          <t>additional56</t>
        </is>
      </c>
      <c r="C22" s="11" t="n">
        <v>1</v>
      </c>
      <c r="D22" s="11" t="inlineStr">
        <is>
          <t>new_20260702_001</t>
        </is>
      </c>
      <c r="E22" s="11" t="inlineStr">
        <is>
          <t>계약 전·후 알릴의무</t>
        </is>
      </c>
      <c r="F22" s="11" t="inlineStr">
        <is>
          <t>상황형</t>
        </is>
      </c>
      <c r="G22" s="11" t="inlineStr">
        <is>
          <t>계약 성립 후 차량 구조를 변경한 사실을 설계사에게만 알렸고 보험회사에는 별도로 통지하지 않은 상태에서 사고가 발생했다. 계약 후 알릴의무 관점에서 보상 제한 여부를 설명해줘.</t>
        </is>
      </c>
      <c r="H22" s="11" t="inlineStr">
        <is>
          <t>■ 섹션 1️⃣  【확정 근거】  
계약 성립 후 차량 구조 변경 사실을 설계사에게만 알리고 보험회사에는 직접 통지하지 않은 경우, 이는 **보험회사에 대한 통지의무를 이행한 것으로 간주되지 않습니다**.  
- **보험설계사는 보험회사의 대리인으로서 통지 수령권을 가지지 않으며**, 단순히 설계사에게 통지한 것만으로는 상법 제652조 및 표준약관 제45조에 따른 ‘계약 후 알릴 의무’를 이행한 것으로 인정되지 않습니다.  
- 대법원은 2006년 판결(2006다19672,19689)에서 “보험설계사는 보험계약자 또는 피보험자가 보험자에 대해 하는 통지를 수령할 권한이 없으므로, 설계사가 위험변경 사실을 알았다고 하더라도 보험회사가 이를 알았다고 볼 수 없다”고 명확히 판시했습니다.  
- 따라서 보험회사는 **상법 제655조**에 따라, **차량 구조 변경과 사고 간 인과관계가 인정될 경우 보험금 지급을 면책**할 수 있습니다.  
- 또한, **표준약관 제45조**는 차량 구조 변경을 ‘계약 후 알릴 의무’의 핵심 사항으로 명시하고 있으며, 이는 **보험회사에 직접 통지하고 승인을 받아야 하는 의무**임을 명확히 합니다.  
■ 섹션 2️⃣  【검토 필요 사항】  
⚠️ [상담사례집 p.110~111]과 [표준약관 p.110]은 모두 “보험회사에 직접 통지”를 전제로 하며, 설계사 통지의 무효성을 명시하고 있으나,  
- 일부 문장에서 “설계사가 회사에 전달해야만 효과 발생”이라는 표현이 반복되며, **보험회사 내부 절차**(예: 설계사가 내부 시스템에 입력했는지 여부)에 대한 구체적 증거 기준은 명시되지 않음.  
- 보험회사가 설계사를 통해 통지를 받았으나 **내부 처리 미흡**으로 인해 통지가 누락된 경우, **보험계약자에게 귀책이 있는지 여부**에 대한 추가 판단이 필요할 수 있음.  
■ 섹션 3️⃣  【추가 확인 사항】  
해당 사례에서 보험회사가 설계사를 통해 전달받은 정보를 **내부 시스템에 기록하지 않았거나**,  
- 설계사가 **고의로 정보를 누락**했는지,  
- 또는 **보험계약자가 설계사에게 통지한 증거**(예: 메시지, 전화 기록, 서면 확인서 등)가 있는지 여부는  
컨텍스트에 명시되지 않아, **보험금 지급 여부에 대한 인과관계 판단에 영향을 줄 수 있음**.  
■ 섹션 4️⃣  【권장 조치】  
- 보험계약자는 **차량 구조 변경 시 반드시 보험회사의 공식 콜센터, 영업점, 또는 온라인 고객센터를 통해 직접 통지**해야 합니다.  
- 설계사를 통한 통지는 **보조적 수단**으로만 활용하고, **보험회사의 공식 수신 확인**(예: 전자문서 수신 확인, 접수번호 발급)을 반드시 확보해야 합니다.  
- 사고 발생 후 보상 청구 시, **통지의무 위반 여부에 대한 증빙 자료**(설계사와의 통화 기록, 이메일, 서면 확인서 등)를 준비하여 인과관계 부재를 입증할 수 있도록 대비해야 합니다.  
[출처: 상담사례집, B. 계약자·피보험자의 계약 후 알릴 의무, p.110~111]  
[출처: 표준약관, 제45조(계약 후 알릴 의무), p.110]
[출처: 상담사례집, p.110] [출처: 상담사례집, p.111] [출처: 상담사례집, p.59]</t>
        </is>
      </c>
      <c r="I22" s="11" t="str"/>
      <c r="J22" s="11" t="n">
        <v>5</v>
      </c>
      <c r="K22" s="11" t="str"/>
      <c r="L22" s="11" t="str"/>
    </row>
    <row r="23" ht="369.6000061035156" customHeight="1">
      <c r="A23" s="11" t="n">
        <v>22</v>
      </c>
      <c r="B23" s="11" t="inlineStr">
        <is>
          <t>additional56</t>
        </is>
      </c>
      <c r="C23" s="11" t="n">
        <v>2</v>
      </c>
      <c r="D23" s="11" t="inlineStr">
        <is>
          <t>new_20260702_002</t>
        </is>
      </c>
      <c r="E23" s="11" t="inlineStr">
        <is>
          <t>계약 전·후 알릴의무</t>
        </is>
      </c>
      <c r="F23" s="11" t="inlineStr">
        <is>
          <t>상황형</t>
        </is>
      </c>
      <c r="G23" s="11" t="inlineStr">
        <is>
          <t>이륜차 운전자보험에 비유상운송 배달용으로 가입한 뒤 배달대행업체를 운영하며 유상운송 배달용으로 사용하게 되었는데 용도 변경을 알리지 않았다. 보험금 지급이 제한될 수 있는지 약관 기준으로 설명해줘.</t>
        </is>
      </c>
      <c r="H23" s="11" t="inlineStr">
        <is>
          <t>■ 섹션 1️⃣  【확정 근거】  
이륜차 운전자보험에서 피보험자가 가입 시 ‘비유상운송 배달용’으로 가입한 후, 배달대행업체를 운영하며 실제 운행 목적을 ‘유상운송 배달용’으로 변경하였으나 보험회사에 통지하지 않은 경우, 약관은 이를 ‘위험 증가’로 간주합니다. 이에 따라 보험금 지급은 “위험 증가 전 요율과 위험 증가 후 요율의 비율에 따라 보험금을 삭감하여 지급한다”고 명시되어 있습니다. 즉, 보상은 완전히 거부되지 않고, 비유상운송 보험료와 유상운송 보험료의 비율에 따라 비례보상이 적용됩니다. 예시로, 손해액 5,000,000원일 때 비유상운송 보험료 30,000원, 유상운송 보험료 50,000원이라면 보상액은 5,000,000 × (30,000/50,000) = 3,000,000원으로 산정됩니다. 단, 증가된 위험과 무관한 보험금 지급사유는 원래대로 지급됩니다.
■ 섹션 2️⃣  【검토 필요 사항】  
⚠️ 약관에서 ‘증가된 위험과 관계없이 발생한 보험금 지급사유’의 구체적 예시가 명시되지 않아, 사고 발생 원인(예: 운전 중 교통사고 vs. 차량 고장으로 인한 부상)에 따라 보상 범위가 달라질 수 있으므로, 실제 사고 경위에 대한 추가 자료 필요.  
⚠️ ‘유상운송 배달용’과 ‘비유상운송 배달용’의 구분 기준은 배달 시 대가 수령 여부로 정의되나, 배달대행업체 운영 중 일부 배달이 무상으로 이루어진 경우(예: 계약사 직원 배달)에 대한 해석이 불명확하므로, 실제 운행 내역 확인 필요.
■ 섹션 3️⃣  【추가 확인 사항】  
해당 없음
■ 섹션 4️⃣  【권장 조치】  
피보험자는 보험계약 내용 변경 시 즉시 보험사에 용도 변경을 통지해야 하며, 이미 사고가 발생한 경우에도 비례보상 적용을 위해 보험료 납입 내역(비유상/유상 보험료)을 정확히 제출하여 보상액 산정을 요청해야 합니다. 향후 동일한 사례 방지를 위해 운행 목적 변경 시 자동 통지 시스템 또는 계약 갱신 시 재확인 절차를 도입할 것을 권장합니다.
[출처: 상담사례집, B. 계약자·피보험자의 계약 후 알릴 의무 39항, p.115-116]
[출처: 상담사례집, p.115] [출처: 상담사례집, p.116]</t>
        </is>
      </c>
      <c r="I23" s="11" t="str"/>
      <c r="J23" s="11" t="n">
        <v>5</v>
      </c>
      <c r="K23" s="11" t="str"/>
      <c r="L23" s="11" t="str"/>
    </row>
    <row r="24" ht="435.6000061035156" customHeight="1">
      <c r="A24" s="11" t="n">
        <v>23</v>
      </c>
      <c r="B24" s="11" t="inlineStr">
        <is>
          <t>additional56</t>
        </is>
      </c>
      <c r="C24" s="11" t="n">
        <v>3</v>
      </c>
      <c r="D24" s="11" t="inlineStr">
        <is>
          <t>new_20260702_003</t>
        </is>
      </c>
      <c r="E24" s="11" t="inlineStr">
        <is>
          <t>계약 전·후 알릴의무</t>
        </is>
      </c>
      <c r="F24" s="11" t="inlineStr">
        <is>
          <t>근거요구형</t>
        </is>
      </c>
      <c r="G24" s="11" t="inlineStr">
        <is>
          <t>청약 전 추가검사나 재검사를 받은 사실이 청약서 질문사항에 포함되는 경우 계약 전 알릴의무 대상인지 관련 근거와 함께 설명해줘.</t>
        </is>
      </c>
      <c r="H24" s="11" t="inlineStr">
        <is>
          <t>■ 섹션 1️⃣  【확정 근거】  
청약서의 질문사항에 포함된 “최근 1년 이내에 의사로부터 진찰 또는 검사를 통하여 추가검사(재검사)를 받은 사실이 있습니까?”라는 항목은 보험사가 서면으로 질문한 사항으로, 이는 계약 전 알릴 의무의 대상입니다. 이는 실손의료보험 표준사업방법서 &lt;부표1&gt; ‘계약 전 알릴의무 사항’에 명시된 기준에 따라 청약서에 포함된 질문사항에 대해 알고 있는 사실을 사실대로 알려야 하며, 이는 상법상 고지의무와 동일한 법적 효력을 가집니다. 따라서 추가검사 또는 재검사를 받은 사실이 이 질문에 해당한다면, 계약 전 알릴 의무의 대상이 됩니다.  
■ 섹션 2️⃣  【검토 필요 사항】  
⚠️ 컨텍스트 1, 2, 3, 4는 모두 동일한 문장이 반복되어 있으며, ‘상담사례집’의 내용이 표준약관과 정확히 일치하는지에 대한 직접적인 법적 근거는 부족합니다. 추가검사 여부가 ‘계약 전 알릴 의무’의 핵심 요건임을 명시하는 것은 표준약관(컨텍스트 5~8)이지만, 구체적인 질문 항목(예: “추가검사”)이 약관 본문에 직접 기재된 것은 아닙니다. 따라서 “추가검사”가 표준약관의 ‘청약서에서 질문한 사항’에 포함된다는 점은 상담사례집의 해석에 의존하고 있어, 보험사의 청약서 양식이 실제 어떤 질문을 포함하는지에 따라 달라질 수 있습니다.  
■ 섹션 3️⃣  【추가 확인 사항】  
해당 질문이 실제 청약서에 포함되었는지, 그리고 보험사가 제출한 청약서 양식의 정식 버전을 확인할 필요가 있습니다. 특히, 표준사업방법서 &lt;부표1&gt;의 구체적 문구가 청약서에 그대로 반영되었는지 확인이 필요합니다.  
■ 섹션 4️⃣  【권장 조치】  
보험사의 청약서에 “최근 1년 이내 추가검사(재검사)” 관련 질문이 포함되어 있다면, 피보험자는 반드시 해당 사실을 고지해야 합니다. 고지하지 않을 경우 계약 전 알릴 의무 위반으로 계약 해지 또는 보상 거절의 위험이 있습니다. 청약서 질문 항목이 불명확한 경우, 보험사에 서면으로 확인을 요청하여 고지 의무의 범위를 명확히 하는 것이 권장됩니다.  
[출처: 상담사례집, p.65]  
[출처: 표준약관, 제13조(계약 전 알릴 의무), p.8]  
[출처: 표준약관, 제12조(계약 전 알릴 의무), p.222]
[출처: 상담사례집, p.56] [출처: 표준약관, 제 3 관 계약자의 계약 전 알릴 의무 등 / 제13조(계약 전 알릴 의무) 계약자 또는 피보험자는 청약할 때(진단계약, p.8] [출처: 표준약관, 제5관 계약자의 계약 전 알릴 의무 등 / 제12조(계약 전 알릴 의무) 계약자 또는 피보험자는 청약할 때(진단계약, p.222]</t>
        </is>
      </c>
      <c r="I24" s="11" t="str"/>
      <c r="J24" s="11" t="n">
        <v>5</v>
      </c>
      <c r="K24" s="11" t="str"/>
      <c r="L24" s="11" t="str"/>
    </row>
    <row r="25" ht="462" customHeight="1">
      <c r="A25" s="11" t="n">
        <v>24</v>
      </c>
      <c r="B25" s="11" t="inlineStr">
        <is>
          <t>additional56</t>
        </is>
      </c>
      <c r="C25" s="11" t="n">
        <v>4</v>
      </c>
      <c r="D25" s="11" t="inlineStr">
        <is>
          <t>new_20260702_004</t>
        </is>
      </c>
      <c r="E25" s="11" t="inlineStr">
        <is>
          <t>계약 성립·철회·무효</t>
        </is>
      </c>
      <c r="F25" s="11" t="inlineStr">
        <is>
          <t>근거요구형</t>
        </is>
      </c>
      <c r="G25" s="11" t="inlineStr">
        <is>
          <t>보험료를 납입한 즉시 보험기간이 시작되는지, 보험증권에 적힌 보험기간과 실제 보험료 지급 시점이 다를 때 어떤 기준으로 보아야 하는지 설명해줘.</t>
        </is>
      </c>
      <c r="H25" s="11" t="inlineStr">
        <is>
          <t>■ 섹션 1️⃣  【확정 근거】  
보험기간은 원칙적으로 보험증권에 기재된 보험기간의 첫날 0시(또는 24시)부터 마지막 날 24시까지입니다. 그러나 보험료를 지급한 시점이 보험증권에 기재된 보험기간 이전이라면, 보험기간은 보험료를 받은 때부터 마지막 날의 동일시점까지로 시작됩니다. 이는 자동차보험에 처음 가입하는 경우(신차 또는 중고차) 및 의무보험에 적용되는 예외 규정이며, 보험료 납입 시점을 기준으로 보장개시일이 결정됩니다. 보험증권에 기재된 기간보다 먼저 보험료를 납입한 경우, 보험기간은 납입일부터 시작되며, 이는 보장개시일(책임개시일)과 일치합니다.  
■ 섹션 2️⃣  【검토 필요 사항】  
⚠️ 컨텍스트 3과 4의 표준약관 제42조는 “보험료를 받은 때부터 마지막 날 24시까지”를 예외로 명시했으나, “자동차보험에 처음 가입하는 자동차 및 의무보험”에 한정된 적용임을 명시하고 있습니다. 일반 보험(예: 실손의료보험, 생명보험 등)에 대한 적용 여부는 명시되지 않아, 자동차보험 외 상품에 대한 일반 원칙이 명확하지 않습니다.  
⚠️ 컨텍스트 5와 6의 “원데이자동차보험 약관”은 자동차보험에 한정된 내용으로, 다른 보험 상품에 대한 일반적 기준으로 확장 적용할 수 있는지 추가 확인이 필요합니다.  
■ 섹션 3️⃣  【추가 확인 사항】  
- 보험료 납입 시점이 보험증권 기재 기간보다 이른 경우, 일반 보험(비자동차)에서도 동일한 원칙이 적용되는지 확인 필요.  
- 보장개시일(책임개시일)과 보험기간의 정의가 보험용어 해설(컨텍스트 7, 8)에서 별도로 정의되어 있으나, 이들이 보험기간과 어떻게 연계되는지 상품별 적용 기준이 명시되지 않음.  
■ 섹션 4️⃣  【권장 조치】  
- 자동차보험의 경우: 보험료 납입일이 보험증권 기재일보다 이른 경우, 납입일을 보장개시일로 적용.  
- 비자동차보험의 경우: 보험사별 약관을 별도 확인하여, “보험료 납입 시점”을 보험기간 시작 기준으로 명시한 조항이 있는지 확인할 것을 권장.  
- 고객에게는 보험증권과 보험료 납입 영수증의 날짜를 비교하여 보장개시일을 확인하도록 안내.  
[출처: 표준약관, 제42조(보험기간), p.108-109]  
[출처: 상담사례집, p.28]
[출처: 표준약관, 제7관 분쟁의 조정 등 / 제42조(보험기간) 보험회사가 피보험자에 대해 보상책임을 지는 보험기간은, p.108-109] [출처: 약관, 제12관 재가입에 관한 사항 등 ............................................................................................. 60 / 제55조(예금보험에 의한 지급보장) ................................................................................................................ 61 / 별표 및 참고의 '약관에서 인용된 법∙규정'을 활용하시면 약관에서 인용한 법률 조항 및 p.131, p.8-31]</t>
        </is>
      </c>
      <c r="I25" s="11" t="str"/>
      <c r="J25" s="11" t="n">
        <v>5</v>
      </c>
      <c r="K25" s="11" t="str"/>
      <c r="L25" s="11" t="str"/>
    </row>
    <row r="26" ht="330" customHeight="1">
      <c r="A26" s="11" t="n">
        <v>25</v>
      </c>
      <c r="B26" s="11" t="inlineStr">
        <is>
          <t>additional56</t>
        </is>
      </c>
      <c r="C26" s="11" t="n">
        <v>5</v>
      </c>
      <c r="D26" s="11" t="inlineStr">
        <is>
          <t>new_20260702_005</t>
        </is>
      </c>
      <c r="E26" s="11" t="inlineStr">
        <is>
          <t>계약 성립·철회·무효</t>
        </is>
      </c>
      <c r="F26" s="11" t="inlineStr">
        <is>
          <t>상황형</t>
        </is>
      </c>
      <c r="G26" s="11" t="inlineStr">
        <is>
          <t>법인 명의로 가입한 기업성 영업배상책임보험을 이틀 뒤 청약철회하려고 한다. 전문금융소비자 여부를 포함해 청약철회 가능성을 설명해줘.</t>
        </is>
      </c>
      <c r="H26" s="11" t="inlineStr">
        <is>
          <t>■ 섹션 1️⃣  【확정 근거】  
법인 명의로 가입한 기업성 영업배상책임보험은 ‘전문금융소비자’가 체결한 계약에 해당합니다. 금융소비자보호법 및 보험 표준약관에 따르면, 전문금융소비자에는 국가, 주권상장법인, 금융회사, 단체보험·기업성보험 가입자 등이 포함되며, 법인 명의의 보험 계약은 일반적으로 기업성보험에 해당하여 전문금융소비자로 분류됩니다. 전문금융소비자가 체결한 계약은 금융소비자보호법상 청약 철회권이 적용되지 않으며, 표준약관과 자사약관 모두에서 “전문금융소비자가 체결한 계약은 청약을 철회할 수 없습니다”라고 명시되어 있습니다. 따라서, 계약일로부터 이틀 뒤라 하더라도 청약 철회는 불가능합니다.
■ 섹션 2️⃣  【검토 필요 사항】  
⚠️ 기업성 영업배상책임보험의 정확한 계약자 구분(예: 중소기업 vs 대기업)에 따라 전문금융소비자 여부가 달라질 수 있는지 확인 필요. 단, 제공된 문서에서는 “기업성보험 가입자”를 명시적으로 전문금융소비자로 포함하고 있으므로, 일반적인 해석상 법인 명의 계약은 전문금융소비자로 간주됩니다.  
■ 섹션 3️⃣  【추가 확인 사항】  
해당 계약이 보험기간 90일 이내인지, 또는 의무보험 여부인지 확인 필요. 그러나 영업배상책임보험은 의무보험에 해당하지 않으며, 일반적으로 1년 이상의 장기계약이므로 이 조건은 적용되지 않음.  
■ 섹션 4️⃣  【권장 조치】  
청약 철회는 불가능하므로, 중복 가입된 보험은 해지 또는 보험금 중복 수령 방지를 위해 기존 계약과의 중복 내용을 보험사와 협의하여 해지 또는 보험료 환급 절차를 진행하는 것이 권장됩니다.  
[출처: [상담사례집], p.87, p.88 / [표준약관], 제19조(청약의 철회), p.435 / [자사_SOL운전자], 제18조(청약의 철회), p.52]
[출처: 상담사례집, p.87] [출처: 상담사례집, p.88] [출처: 표준약관, 제 4 관 보험계약의 성립과 유지 / 제19조(청약의 철회) ① 계약자는 보험증권을 받은 날부터 15일 이내에, p.435]</t>
        </is>
      </c>
      <c r="I26" s="11" t="str"/>
      <c r="J26" s="11" t="n">
        <v>5</v>
      </c>
      <c r="K26" s="11" t="str"/>
      <c r="L26" s="11" t="str"/>
    </row>
    <row r="27" ht="396" customHeight="1">
      <c r="A27" s="11" t="n">
        <v>26</v>
      </c>
      <c r="B27" s="11" t="inlineStr">
        <is>
          <t>additional56</t>
        </is>
      </c>
      <c r="C27" s="11" t="n">
        <v>6</v>
      </c>
      <c r="D27" s="11" t="inlineStr">
        <is>
          <t>new_20260702_006</t>
        </is>
      </c>
      <c r="E27" s="11" t="inlineStr">
        <is>
          <t>계약 성립·철회·무효</t>
        </is>
      </c>
      <c r="F27" s="11" t="inlineStr">
        <is>
          <t>기한·한도확인형</t>
        </is>
      </c>
      <c r="G27" s="11" t="inlineStr">
        <is>
          <t>65세 이상 계약자가 전화로 체결한 보험계약의 청약철회 가능 기간을 일반 계약의 청약철회 기간과 비교해서 알려줘.</t>
        </is>
      </c>
      <c r="H27" s="11" t="inlineStr">
        <is>
          <t>■ 섹션 1️⃣  【확정 근거】  
65세 이상 계약자가 전화로 체결한 보험계약의 청약철회 가능 기간은 **청약한 날부터 45일**입니다.  
일반 계약(65세 미만, 전화 외 방식으로 체결한 계약)의 청약철회 가능 기간은 **청약한 날부터 30일**입니다.  
따라서, 65세 이상 전화 체결 계약은 일반 계약보다 15일 더 긴 청약철회 기간이 부여됩니다.  
이 내용은 모든 관련 약관(자사_SOL운전자, 자사_SOL건강, 일반 약관)에서 일관되게 명시되어 있으며, 「금융소비자 보호에 관한 법률」 제46조에 근거한 일반금융소비자 기준과 비교하여 특례를 적용합니다.
■ 섹션 2️⃣  【검토 필요 사항】  
⚠️ 컨텍스트 7과 8에서 “보통약관 제21조”라는 문구가 등장하며, 이는 다른 컨텍스트(제19조, 제18조)와 조문 번호가 다릅니다.  
- 일반 약관(컨텍스트 1,2)은 제19조, 자사_SOL 제품은 제18조로 명시됨.  
- 컨텍스트 7,8은 “보통약관 제21조”를 인용하고 있으나, 이는 다른 약관과의 일관성 확인이 필요함.  
→ 이는 동일한 내용을 다른 조문 번호로 표기한 것인지, 별도의 보통약관이 적용되는지 확인이 필요함.  
※ 그러나 청약철회 기간 자체(45일/30일)에 대한 내용은 모든 문서에서 일치하므로, **기능적 내용은 확정**됨.
■ 섹션 3️⃣  【추가 확인 사항】  
해당 없음
■ 섹션 4️⃣  【권장 조치】  
해당 없음
65세 이상 계약자가 전화로 체결한 보험계약의 청약철회 가능 기간은 청약한 날부터 45일이며, 일반 계약은 청약한 날부터 30일입니다. 따라서 65세 이상 전화 체결 계약은 일반 계약보다 15일 더 긴 청약철회 기간을 가집니다.  
[출처: 약관, 제19조(청약의 철회), p.47-48 / 자사_SOL운전자, 제18조(청약의 철회), p.52 / 자사_SOL건강, 제18조(청약의 철회), p.54-55]
[출처: 약관, 제5관 보험계약의 성립과 유지 / 제19조(청약의 철회), p.47-48] [출처: 자사_SOL운전자, 제4관 보험계약의 성립과 유지 / 제18조(청약의 철회), p.52] [출처: 자사_SOL건강, 제4관 보험계약의 성립과 유지 / 제18조(청약의 철회), p.54-55]</t>
        </is>
      </c>
      <c r="I27" s="11" t="str"/>
      <c r="J27" s="11" t="n">
        <v>5</v>
      </c>
      <c r="K27" s="11" t="str"/>
      <c r="L27" s="11" t="str"/>
    </row>
    <row r="28" ht="369.6000061035156" customHeight="1">
      <c r="A28" s="11" t="n">
        <v>27</v>
      </c>
      <c r="B28" s="11" t="inlineStr">
        <is>
          <t>additional56</t>
        </is>
      </c>
      <c r="C28" s="11" t="n">
        <v>7</v>
      </c>
      <c r="D28" s="11" t="inlineStr">
        <is>
          <t>new_20260702_007</t>
        </is>
      </c>
      <c r="E28" s="11" t="inlineStr">
        <is>
          <t>계약 성립·철회·무효</t>
        </is>
      </c>
      <c r="F28" s="11" t="inlineStr">
        <is>
          <t>예외확인형</t>
        </is>
      </c>
      <c r="G28" s="11" t="inlineStr">
        <is>
          <t>청약철회 전에 이미 보험금 지급사유가 발생했지만 계약자가 그 사실을 몰랐던 경우에도 청약철회 효력이 발생하는지 설명해줘.</t>
        </is>
      </c>
      <c r="H28" s="11" t="inlineStr">
        <is>
          <t>■ 섹션 1️⃣  【확정 근거】  
청약철회 전에 이미 보험금 지급사유가 발생했지만 계약자가 그 사실을 알지 못한 경우, 청약철회의 효력은 **발생하지 않습니다**. 이는 모든 제공된 표준약관 및 약관 문서에서 일관되게 명시된 내용입니다. 예를 들어, [컨텍스트 1] 제15조⑤, [컨텍스트 2] 제19조⑤, [컨텍스트 3] 제17조⑤, [컨텍스트 5] 제17조⑤, [컨텍스트 7] 제3조⑤ 등 모두 “청약을 철회할 때에 이미 보험금 지급사유가 발생하였으나 계약자가 그 보험금 지급사유가 발생한 사실을 알지 못한 경우에는 청약철회의 효력은 발생하지 않습니다.”라고 규정하고 있습니다. 이는 계약자의 과실이 없더라도, 보험금 지급사유가 이미 발생한 경우 계약의 철회가 보험계약의 본질적 목적(사후 보장)을 훼손하므로 효력을 부정하는 법적 원칙을 반영한 것입니다.
■ 섹션 2️⃣  【검토 필요 사항】  
⚠️ [컨텍스트 1] 제15조⑤에는 “타인을 위한 보험계약의 경우에는 그러하지 아니합니다.”라는 예외 조항이 존재합니다. 이는 타인을 위한 보험(예: 가족을 위한 실손의료보험)의 경우, 계약자가 보험금 지급사유 발생을 몰랐더라도 청약철회가 가능할 수 있음을 시사합니다. 그러나 다른 컨텍스트(2~8)에서는 이 예외 조항이 누락되어 있어, 타인을 위한 계약에 대한 적용 여부가 문서별로 불일치합니다. 이는 보험사별 약관 해석 차이를 초래할 수 있으므로, 타인을 위한 계약의 경우 추가 확인이 필요합니다.
■ 섹션 3️⃣  【추가 확인 사항】  
해당 없음
■ 섹션 4️⃣  【권장 조치】  
해당 없음
[출처: 표준약관, 제15조(청약의 철회), p.484 / 약관, 제19조(청약의 철회), p.48 / 표준약관, 제17조(청약의 철회), p.12 / 표준약관, 제17조(청약의 철회), p.229 / 약관, 제3조(청약의 철회), p.127]
[출처: 표준약관, 제7관 분쟁의 조정 등 / 제15조(청약의 철회) ① 일반금융소비자는 보험증권을 받은 날부터 15일과, p.483-485] [출처: 약관, 제5관 보험계약의 성립과 유지 / 제19조(청약의 철회), p.47-48] [출처: 표준약관, 제 4 관 보험계약의 성립과 유지 / 제17조(청약의 철회) ① 계약자는 보험증권을 받은 날 부터 15일 이내에, p.11-12]</t>
        </is>
      </c>
      <c r="I28" s="11" t="str"/>
      <c r="J28" s="11" t="n">
        <v>5</v>
      </c>
      <c r="K28" s="11" t="str"/>
      <c r="L28" s="11" t="str"/>
    </row>
    <row r="29" ht="237.6000061035156" customHeight="1">
      <c r="A29" s="11" t="n">
        <v>28</v>
      </c>
      <c r="B29" s="11" t="inlineStr">
        <is>
          <t>additional56</t>
        </is>
      </c>
      <c r="C29" s="11" t="n">
        <v>8</v>
      </c>
      <c r="D29" s="11" t="inlineStr">
        <is>
          <t>new_20260702_008</t>
        </is>
      </c>
      <c r="E29" s="11" t="inlineStr">
        <is>
          <t>계약 성립·철회·무효</t>
        </is>
      </c>
      <c r="F29" s="11" t="inlineStr">
        <is>
          <t>근거요구형</t>
        </is>
      </c>
      <c r="G29" s="11" t="inlineStr">
        <is>
          <t>보험나이를 계산할 때 6개월 미만과 6개월 이상의 끝수는 어떻게 처리하며, 실제 만나이를 적용하는 예외가 있는지 약관 근거로 설명해줘.</t>
        </is>
      </c>
      <c r="H29" s="11" t="inlineStr">
        <is>
          <t>보험나이를 계산할 때, 6개월 미만의 끝수는 버리고, 6개월 이상의 끝수는 1년으로 올려 계산합니다. 이는 계약일 현재 피보험자의 실제 만 나이를 기준으로 하여 적용됩니다. 또한, 일반적으로 보험나이를 기준으로 하지만, 계약의 무효 사유에 해당하는 경우(예: 사기 또는 허위 기재로 인한 계약 무효)에는 실제 만 나이를 적용합니다.
이 내용은 표준약관과 자사_SOL운전자 약관 모두에서 동일하게 명시되어 있으며, 예시로는 생년월일이 1988년 10월 2일이고 계약일이 2014년 4월 13일일 경우, 실제 나이는 25년 6월 11일로, 6개월 이상이므로 보험나이를 26세로 계산합니다. 단, 제21조(또는 제20조) 제2호와 같은 계약 무효 사유가 발생하면 실제 만 나이를 적용합니다.
[출처: 표준약관, 제23조(보험나이 등), p.163]  
[출처: 자사_SOL운전자, 제22조(보험나이 등), p.55]  
[출처: 표준약관, 제21조(보험나이 등), p.15]  
[출처: 표준약관, 제21조(보험나이 등), p.338]
[출처: 표준약관, 제 4 관 보험계약의 성립과 유지 / 제23조(보험나이 등) ① 이 약관에서의 피보험자의 나이는 보험나이를 기, p.163] [출처: 표준약관, 제 4 관 보험계약의 성립과 유지 / 제21조(보험나이 등) ① 이 약관에서의 피보험자의 나이는 보험나이를 기, p.15] [출처: 자사_SOL운전자, 제4관 보험계약의 성립과 유지 / 제22조(보험나이 등), p.55]</t>
        </is>
      </c>
      <c r="I29" s="11" t="str"/>
      <c r="J29" s="11" t="n">
        <v>5</v>
      </c>
      <c r="K29" s="11" t="str"/>
      <c r="L29" s="11" t="str"/>
    </row>
    <row r="30" ht="171.6000061035156" customHeight="1">
      <c r="A30" s="11" t="n">
        <v>29</v>
      </c>
      <c r="B30" s="11" t="inlineStr">
        <is>
          <t>additional56</t>
        </is>
      </c>
      <c r="C30" s="11" t="n">
        <v>9</v>
      </c>
      <c r="D30" s="11" t="inlineStr">
        <is>
          <t>new_20260702_009</t>
        </is>
      </c>
      <c r="E30" s="11" t="inlineStr">
        <is>
          <t>보험료 납입·연체·부활</t>
        </is>
      </c>
      <c r="F30" s="11" t="inlineStr">
        <is>
          <t>근거요구형</t>
        </is>
      </c>
      <c r="G30" s="11" t="inlineStr">
        <is>
          <t>보험료 자동대출납입은 언제까지 신청할 수 있고, 신청되면 연체 중인 계약의 효력이 어떻게 유지되는지 설명해줘.</t>
        </is>
      </c>
      <c r="H30" s="11" t="inlineStr">
        <is>
          <t>보험료 자동대출납입은 제27조(보험료의 납입이 연체되는 경우 납입최고(독촉)와 계약의 해지)에 따른 보험료의 납입최고(독촉)기간이 지나기 전까지 신청할 수 있습니다. 이 기간 내에 신청하면, 제34조(보험계약대출) 제1항에 따른 보험계약대출금으로 보험료가 자동으로 납입되어 계약은 유효하게 지속됩니다. 즉, 보험료 납입이 연체된 상태에서도 자동대출을 통해 보험료가 결제되면 계약은 해지되지 않고 계속 유효합니다.
[출처: 자사_SOL운전자, 제26조(보험료의 자동대출납입), p.57]  
[출처: 표준약관, 제26조(보험료의 자동대출납입), p.236]  
[출처: 약관, 제27조(보험료의 자동대출납입), p.52]  
[출처: 자사_SOL건강, 제26조(보험료의 자동대출납입), p.59]
[출처: 자사_SOL운전자, 제5관 보험료의 납입 / 제26조(보험료의 자동대출납입), p.57] [출처: 표준약관, 제7관 보험료의 납입 / 제26조(보험료의 자동대출납입) ① 계약자는 제27조[보험료의 납입이 연, p.236-240] [출처: 약관, 제7관 보험료의 납입 / 제27조(보험료의 자동대출납입), p.52-53]</t>
        </is>
      </c>
      <c r="I30" s="11" t="str"/>
      <c r="J30" s="11" t="n">
        <v>5</v>
      </c>
      <c r="K30" s="11" t="str"/>
      <c r="L30" s="11" t="str"/>
    </row>
    <row r="31" ht="211.1999969482422" customHeight="1">
      <c r="A31" s="11" t="n">
        <v>30</v>
      </c>
      <c r="B31" s="11" t="inlineStr">
        <is>
          <t>additional56</t>
        </is>
      </c>
      <c r="C31" s="11" t="n">
        <v>10</v>
      </c>
      <c r="D31" s="11" t="inlineStr">
        <is>
          <t>new_20260702_010</t>
        </is>
      </c>
      <c r="E31" s="11" t="inlineStr">
        <is>
          <t>보험료 납입·연체·부활</t>
        </is>
      </c>
      <c r="F31" s="11" t="inlineStr">
        <is>
          <t>예외확인형</t>
        </is>
      </c>
      <c r="G31" s="11" t="inlineStr">
        <is>
          <t>회사가 납입최고를 전자문서로 안내했지만 계약자가 수신하지 못한 경우 회사는 어떤 방식으로 다시 알려야 하는지 설명해줘.</t>
        </is>
      </c>
      <c r="H31" s="11" t="inlineStr">
        <is>
          <t>회사가 납입최고를 전자문서로 안내했지만 계약자가 수신하지 못한 경우, 회사는 전자문서가 수신되지 않은 것을 확인한 후, 제1항에서 정한 내용을 **서면(등기우편 등)** 또는 **전화(음성녹음)**으로 다시 알려야 합니다.
이 내용은 모든 제공된 문서(자사_SOL건강, 자사_SOL운전자, 표준약관)에서 동일하게 명시되어 있으며, 전자문서 수신 확인이 전제 조건으로 작용하고, 수신 실패 시 대체 통지 수단으로 서면 또는 전화(음성녹음)가 규정되어 있습니다.
[출처: 자사_SOL건강, 제27조, p.60-61]  
[출처: 자사_SOL운전자, 제27조, p.57-58]  
[출처: 표준약관, 제26조, p.17-18]  
[출처: 표준약관, 제28조, p.166-167]
[출처: 자사_SOL건강, 제5관 보험료의 납입 / 제27조(보험료의 납입이 연체되는 경우 납입최고(독촉)와 계약의 해지), p.60-61] [출처: 자사_SOL운전자, 제5관 보험료의 납입 / 제27조(보험료의 납입이 연체되는 경우 납입최고(독촉)와 계약의 해지), p.57-58] [출처: 표준약관, 제 5 관 보험료의 납입 / 제26조(보험료의 납입이 연체되는 경우 납입최고(독촉)와 계약의 해지), p.17-18]</t>
        </is>
      </c>
      <c r="I31" s="11" t="str"/>
      <c r="J31" s="11" t="n">
        <v>5</v>
      </c>
      <c r="K31" s="11" t="str"/>
      <c r="L31" s="11" t="str"/>
    </row>
    <row r="32" ht="409.2000122070312" customHeight="1">
      <c r="A32" s="11" t="n">
        <v>31</v>
      </c>
      <c r="B32" s="11" t="inlineStr">
        <is>
          <t>additional56</t>
        </is>
      </c>
      <c r="C32" s="11" t="n">
        <v>11</v>
      </c>
      <c r="D32" s="11" t="inlineStr">
        <is>
          <t>new_20260702_011</t>
        </is>
      </c>
      <c r="E32" s="11" t="inlineStr">
        <is>
          <t>보험료 납입·연체·부활</t>
        </is>
      </c>
      <c r="F32" s="11" t="inlineStr">
        <is>
          <t>기한·한도확인형</t>
        </is>
      </c>
      <c r="G32" s="11" t="inlineStr">
        <is>
          <t>보험료 연체로 해지된 계약은 해지된 날부터 몇 년 이내에 부활을 청약할 수 있는지, 해약환급금이 없거나 대출로 차감된 경우도 포함되는지 알려줘.</t>
        </is>
      </c>
      <c r="H32" s="11" t="inlineStr">
        <is>
          <t>■ 섹션 1️⃣  【확정 근거】  
보험료 연체로 해지된 계약은 해지된 날부터 **3년 이내**에 부활(효력회복)을 청약할 수 있습니다. 이는 해약환급금을 받지 않은 경우에 해당하며, **보험계약대출 등에 따라 해약환급금이 차감되었으나 받지 않은 경우** 또는 **해약환급금이 없는 경우**도 포함됩니다. 이 내용은 표준약관과 자사_SOL건강, 자사_SOL운전자 약관 모두에서 일관되게 명시되어 있습니다. 또한, 부활 승낙 시 연체된 보험료에 평균공시이율 + 1% 범위 내의 이율이 적용되며, 금리연동형 보험은 별도로 정한 이율을 적용합니다.
■ 섹션 2️⃣  【검토 필요 사항】  
⚠️ 컨텍스트 1(표준약관 제27조)은 제26조를 근거로 하며, 나머지 컨텍스트(2~8)는 모두 제28조를 근거로 하여 부활 조건을 규정하고 있습니다. 이는 약관 버전(예: 2023.6.26 개정 전후)에 따른 조문 번호 차이일 수 있으나, 부활 기간(3년 이내) 및 해약환급금 포함 범위는 모든 문서에서 동일합니다. 따라서 내용적 충돌은 없으나, 조문 번호 차이에 대한 정합성 확인이 필요합니다.  
■ 섹션 3️⃣  【추가 확인 사항】  
해당 조항에서 “해약환급금이 없는 경우”의 구체적 사례(예: 보험료 납입 기간이 너무 짧아 환급금이 0원인 경우)에 대한 추가 설명은 제공되지 않음.  
금리연동형 보험의 “별도로 정한 이율”이 실제 상품별 사업방법서에서 어떻게 정해지는지에 대한 구체적 예시도 제공되지 않음.  
■ 섹션 4️⃣  【권장 조치】  
계약자가 부활을 청약하려는 경우, 회사가 정한 절차에 따라 서류를 제출하고, 연체된 보험료 및 추가 이자(평균공시이율 + 1%)를 납부해야 함.  
또한, 최초 계약 시 계약 전 알릴 의무 위반 여부를 재확인해야 하며, 이에 해당하면 부활이 거절될 수 있음.  
[출처: 표준약관, 제5관 제29조(보험료의 납입연체로 인한 해지계약의 부활(효력회복)), p.167-168]  
[출처: 자사_SOL건강, 제5관 제28조(보험료의 납입을 연체하여 해지된 계약의 부활(효력회복)), p.61]  
[출처: 자사_SOL운전자, 제5관 제28조(보험료의 납입을 연체하여 해지된 계약의 부활(효력회복)), p.58]
[출처: 표준약관, 제 5 관 보험료의 납입 / 제27조(보험료의 납입연체로 인한 해지계약의 부활(효력회복)) ① 제26, p.19] [출처: 약관, 제7관 보험료의 납입 / 제29조(보험료의 납입을 연체하여 해지된 계약의 부활(효력회복)), p.54] [출처: 자사_SOL건강, 제5관 보험료의 납입 / 제28조(보험료의 납입을 연체하여 해지된 계약의 부활(효력회복)), p.61]</t>
        </is>
      </c>
      <c r="I32" s="11" t="str"/>
      <c r="J32" s="11" t="n">
        <v>5</v>
      </c>
      <c r="K32" s="11" t="str"/>
      <c r="L32" s="11" t="str"/>
    </row>
    <row r="33" ht="580.7999877929688" customHeight="1">
      <c r="A33" s="11" t="n">
        <v>32</v>
      </c>
      <c r="B33" s="11" t="inlineStr">
        <is>
          <t>additional56</t>
        </is>
      </c>
      <c r="C33" s="11" t="n">
        <v>12</v>
      </c>
      <c r="D33" s="11" t="inlineStr">
        <is>
          <t>new_20260702_012</t>
        </is>
      </c>
      <c r="E33" s="11" t="inlineStr">
        <is>
          <t>보험료 납입·연체·부활</t>
        </is>
      </c>
      <c r="F33" s="11" t="inlineStr">
        <is>
          <t>근거요구형</t>
        </is>
      </c>
      <c r="G33" s="11" t="inlineStr">
        <is>
          <t>부활을 신청할 때 연체보험료 외에 이자를 함께 납입해야 하는지, 회사가 건강상태나 직업을 이유로 승낙을 제한할 수 있는지 설명해줘.</t>
        </is>
      </c>
      <c r="H33" s="11" t="inlineStr">
        <is>
          <t>■ 섹션 1️⃣  【확정 근거】  
부활을 신청할 때 연체보험료 외에도 연체이자를 함께 납입해야 합니다. 이는 [자사_SOL건강] 보통약관 제28조와 [약관] 보통약관 제33조에서 명시되어 있으며, “보험료 납입연체로 보험계약이 해지되었으나 해약환급금을 받지 않은 경우 해지된 날부터 3년 이내에 보험계약의 부활(효력회복)을 청약할 수 있습니다”라는 조항과 함께, “부활(효력회복)을 청약할 때는 연체된 보험료 및 연체이자를 납입해야 한다”는 실무적 의미가 포함되어 있습니다. 또한 [상담사례집] p.137에서도 “부활시키고자 하는 보장항목에 해당하는 연체보험료 및 연체이자만 납입할 수도 있다”고 명시되어 있어, 이자 납입은 필수 요건임을 확인할 수 있습니다.  
또한 보험회사는 피보험자의 건강상태, 직업 등에 따라 부활(효력회복)의 승낙 여부를 결정할 수 있으며, 부활을 거절하거나 보장의 일부를 제한할 수 있습니다. 이는 [자사_SOL건강] 제28조, [약관] 제33조, [자사_SOL운전자] 제30조에서 모두 동일하게 명시되어 있습니다.
■ 섹션 2️⃣  【검토 필요 사항】  
⚠️ [상담사례집] p.137에서 “연체된 보험료 전체를 납입할 필요 없이 부활시키고자 하는 보장항목에 해당하는 연체보험료 및 연체이자만 납입할 수도 있다”고 언급되었으나, 이는 ‘전체 연체료 납입 의무 해소’를 의미하는 것이 아니라, ‘부활할 보장항목에 한정된 연체료 및 이자만 납입’ 가능함을 의미합니다. 이에 따라, 구체적인 보장항목별 납입 금액 산정 기준은 내부 운영지침에 따라 달라질 수 있으므로, 고객별 상황에 따른 정확한 납입액 산정은 보험사 내부 시스템을 통해 확인이 필요합니다.
■ 섹션 3️⃣  【추가 확인 사항】  
해당 문서들에서 부활 신청 시 건강상태나 직업 변경에 대한 구체적인 심사 기준(예: 특정 질병, 직업 위험등급 등)은 명시되어 있지 않으며, 이는 보험사 내부 리스크 평가 기준에 따라 달라집니다. 따라서 부활 거절 또는 보장 제한의 구체적 사유를 알고자 할 경우, 보험사의 건강심사팀 또는 부활심사팀에 문의가 필요합니다.
■ 섹션 4️⃣  【권장 조치】  
피보험자가 부활을 신청하는 경우, 다음 사항을 확인하고 준비하시기 바랍니다:  
1. 부활 대상 보장항목을 명확히 결정하고, 해당 항목에 대한 연체보험료 및 연체이자 금액을 보험사에 문의하여 정확히 납입  
2. 건강상태 및 직업 변경 사항을 성실히 고지하고, 보험사의 심사 요청에 응답  
3. 부활 승낙 여부 및 제한 내용은 서면으로 통보받고, 동의서에 서명 후 절차를 완료  
[출처: 자사_SOL건강, 보통약관 제28조, p.45 / 약관, 보통약관 제33조, p.131 / 상담사례집, p.137]
[출처: 자사_SOL건강, 제7관 분쟁조정 등 ············································································································································· 63 / 제8조(보험금의 지급절차) p.45 / 별표 및 참고의 '특별약관 색인'을 활용하시면 본인이 실제 가입한 특별약관을 쉽게 찾을 수, p.13-44] [출처: 약관, 제12관 재가입에 관한 사항 등 ............................................................................................. 60 / 제55조(예금보험에 의한 지급보장) ................................................................................................................ 61 / 별표 및 참고의 '약관에서 인용된 법∙규정'을 활용하시면 약관에서 인용한 법률 조항 및 p.131, p.8-31] [출처: 자사_SOL운전자, 제7관 분쟁조정 등 ············································································································································· 60 / 제8조(보험금의 지급절차) p.44 / 별표 및 참고의 '특별약관 색인'을 활용하시면 본인이 실제 가입한 특별약관을 쉽게 찾을 수, p.9-41]</t>
        </is>
      </c>
      <c r="I33" s="11" t="str"/>
      <c r="J33" s="11" t="n">
        <v>5</v>
      </c>
      <c r="K33" s="11" t="str"/>
      <c r="L33" s="11" t="str"/>
    </row>
    <row r="34" ht="290.3999938964844" customHeight="1">
      <c r="A34" s="11" t="n">
        <v>33</v>
      </c>
      <c r="B34" s="11" t="inlineStr">
        <is>
          <t>additional56</t>
        </is>
      </c>
      <c r="C34" s="11" t="n">
        <v>13</v>
      </c>
      <c r="D34" s="11" t="inlineStr">
        <is>
          <t>new_20260702_013</t>
        </is>
      </c>
      <c r="E34" s="11" t="inlineStr">
        <is>
          <t>보험료 납입·연체·부활</t>
        </is>
      </c>
      <c r="F34" s="11" t="inlineStr">
        <is>
          <t>상황형</t>
        </is>
      </c>
      <c r="G34" s="11" t="inlineStr">
        <is>
          <t>납입최고 기간 중 보험사고가 발생했지만 기간 종료일까지 보험료가 납입되지 않아 계약이 해지되었다. 해지 전에 발생한 보험금 지급사유는 보상되는지 설명해줘.</t>
        </is>
      </c>
      <c r="H34" s="11" t="inlineStr">
        <is>
          <t>■ 섹션 1️⃣  【확정 근거】  
납입최고 기간 중 보험사고가 발생했더라도, 계약이 해지되기 전에 발생한 보험금 지급사유에 대해서는 보험사가 보상합니다. 이는 납입최고 기간이 종료되어 계약이 해지된 경우에도 동일하게 적용됩니다. 구체적으로, 자사_SOL운전자 및 자사_SOL건강 보험약관, 그리고 일반 약관 모두에서 “해지 전에 발생한 보험금 지급사유에 대하여 회사는 보상하여 드립니다.”라고 명시되어 있으며, 이는 보험료 납입 연체로 인한 계약 해지 여부와 무관하게 보상 의무를 부여합니다.
■ 섹션 2️⃣  【검토 필요 사항】  
⚠️ 컨텍스트 7과 8의 약관 문장이 끊겨서 “⑥ 회사는 제5항에 따른 확인 결과 전자문서가…”로 종료되어, 전자문서 수신 확인 절차의 완전한 내용은 확인되지 않으나, 이는 보상 여부와 직접적인 관련이 없으므로 보상 규정에 영향을 주지 않습니다.  
■ 섹션 3️⃣  【추가 확인 사항】  
해당 없음  
■ 섹션 4️⃣  【권장 조치】  
해당 없음  
[출처: 자사_SOL운전자, 제27조, p.57-58 / 자사_SOL건강, 제27조, p.60-61 / 약관, 제28조, p.53-54]
[출처: 상담사례집, p.137] [출처: 자사_SOL운전자, 제5관 보험료의 납입 / 제27조(보험료의 납입이 연체되는 경우 납입최고(독촉)와 계약의 해지), p.57-58] [출처: 자사_SOL건강, 제5관 보험료의 납입 / 제27조(보험료의 납입이 연체되는 경우 납입최고(독촉)와 계약의 해지), p.60-61]</t>
        </is>
      </c>
      <c r="I34" s="11" t="str"/>
      <c r="J34" s="11" t="n">
        <v>5</v>
      </c>
      <c r="K34" s="11" t="str"/>
      <c r="L34" s="11" t="str"/>
    </row>
    <row r="35" ht="264" customHeight="1">
      <c r="A35" s="11" t="n">
        <v>34</v>
      </c>
      <c r="B35" s="11" t="inlineStr">
        <is>
          <t>additional56</t>
        </is>
      </c>
      <c r="C35" s="11" t="n">
        <v>14</v>
      </c>
      <c r="D35" s="11" t="inlineStr">
        <is>
          <t>new_20260702_014</t>
        </is>
      </c>
      <c r="E35" s="11" t="inlineStr">
        <is>
          <t>보험금 지급·청구</t>
        </is>
      </c>
      <c r="F35" s="11" t="inlineStr">
        <is>
          <t>기한·한도확인형</t>
        </is>
      </c>
      <c r="G35" s="11" t="inlineStr">
        <is>
          <t>보험금 청구서류를 접수한 뒤 회사는 원칙적으로 몇 영업일 이내에 보험금을 지급해야 하며, 조사·확인이 필요한 경우에는 어느 정도까지 걸릴 수 있는지 알려줘.</t>
        </is>
      </c>
      <c r="H35" s="11" t="inlineStr">
        <is>
          <t>제공된 문서 근거에서 확인되는 범위로 답변드립니다.
청구 필요 서류: 아래 원문 근거 행을 우선 확인했습니다.
- 근거 1: 소액 보험금 청구시 진단서 제출이 면제되는 등 청구서류가 간소화되는 경우도 있으니,
  - 출처: 자사_SOL건강, 제7조, 별표 및 참고의 '특별약관 색인'을 활용하시면 본인이 실제 가입한 특별약관을 쉽게 찾을 수, p.13-44, chunk=자사_SOL건강_ch_002744, source=text
- 근거 2: 소액 보험금 청구시 진단서 제출이 면제되는 등 청구서류가 간소화되는 경우도 있으니,
  - 출처: 자사_SOL운전자, 제7조, 별표 및 참고의 '특별약관 색인'을 활용하시면 본인이 실제 가입한 특별약관을 쉽게 찾을 수, p.9-41, chunk=자사_SOL운전자_ch_004216, source=text
위 내용은 선택된 원문 근거 기준의 구조화 요약입니다. 실제 지급 여부는 가입 담보와 사고/진단 사실 관계를 함께 확인해야 합니다.
[출처: 자사_SOL건강, 제7관 분쟁조정 등 ············································································································································· 63 / 제8조(보험금의 지급절차) p.45 / 별표 및 참고의 '특별약관 색인'을 활용하시면 본인이 실제 가입한 특별약관을 쉽게 찾을 수, p.13-44] [출처: 자사_SOL운전자, 제7관 분쟁조정 등 ············································································································································· 60 / 제8조(보험금의 지급절차) p.44 / 별표 및 참고의 '특별약관 색인'을 활용하시면 본인이 실제 가입한 특별약관을 쉽게 찾을 수, p.9-41] [출처: 표준약관, 제 2 관 보험금의 지급 / 제8조(보험금의 지급절차) ① 회사는 제7조(보험금의 청구)에서 정한 서, p.5-7]</t>
        </is>
      </c>
      <c r="I35" s="11" t="str"/>
      <c r="J35" s="11" t="n">
        <v>1</v>
      </c>
      <c r="K35" s="11" t="str"/>
      <c r="L35" s="11" t="inlineStr">
        <is>
          <t>해당 내용은 약관상에 명확하게 규정된 내용이 있으나, 답변하지 못함.</t>
        </is>
      </c>
    </row>
    <row r="36" ht="435.6000061035156" customHeight="1">
      <c r="A36" s="11" t="n">
        <v>35</v>
      </c>
      <c r="B36" s="11" t="inlineStr">
        <is>
          <t>additional56</t>
        </is>
      </c>
      <c r="C36" s="11" t="n">
        <v>15</v>
      </c>
      <c r="D36" s="11" t="inlineStr">
        <is>
          <t>new_20260702_015</t>
        </is>
      </c>
      <c r="E36" s="11" t="inlineStr">
        <is>
          <t>보험금 지급·청구</t>
        </is>
      </c>
      <c r="F36" s="11" t="inlineStr">
        <is>
          <t>근거요구형</t>
        </is>
      </c>
      <c r="G36" s="11" t="inlineStr">
        <is>
          <t>소송 제기, 분쟁조정 신청, 수사기관 조사 때문에 보험금 지급사유 확인이 지연되는 경우 지급예정일 산정이 어떻게 달라지는지 설명해줘.</t>
        </is>
      </c>
      <c r="H36" s="11" t="inlineStr">
        <is>
          <t>■ 섹션 1️⃣  【확정 근거】  
소송 제기, 분쟁조정 신청, 수사기관의 조사로 인해 보험금 지급사유의 조사·확인이 지연되는 경우, 보험금 지급예정일은 제7조(보험금의 청구)에서 정한 서류를 접수한 날부터 **30영업일 이내**로 정해집니다. 이는 일반적인 지급기일(3영업일)을 초과하는 경우에도 예외적으로 허용되는 최대 기간이며, 위 세 가지 사유는 지급예정일 산정에서 **제외 사유**로 명시되어 있어, 해당 사유 발생 시 30영업일 이내에서 지급예정일을 설정합니다.  
이 규정은 표준약관, 자사_SOL건강, 자사_SOL운전자, 일반 약관 등 다양한 문서에서 동일하게 적용되며, 소송제기, 분쟁조정 신청, 수사기관의 조사는 모두 지급예정일 산정의 예외 사유로 명시되어 있습니다.  
■ 섹션 2️⃣  【검토 필요 사항】  
⚠️ 컨텍스트 4 및 5(약관)에서는 제7항(제3자의 의견에 따르기)이 지급예정일 예외 사유로 포함되어 있으나, 이는 질문과 직접 관련 없음.  
⚠️ 컨텍스트 1(표준약관)과 컨텍스트 8(표준약관)은 문구 차이가 있으나, 소송제기, 분쟁조정, 수사기관 조사는 모두 예외 사유로 동일하게 명시됨.  
⚠️ 컨텍스트 2, 3, 6, 7(자사_SOL건강/운전자)에서는 “해외에서 발생한 보험사고”로 표현되었으나, 질문의 세 사유(소송, 분쟁조정, 수사)는 모든 문서에서 일관되게 예외 사유로 포함됨.  
■ 섹션 3️⃣  【추가 확인 사항】  
해당 사유로 지연될 경우, 회사는 반드시 피보험자 또는 보험수익자에게 구체적인 사유, 지급예정일, 가지급보험금 제도를 즉시 통지해야 하며, 이는 모든 문서에서 공통된 의무사항입니다.  
■ 섹션 4️⃣  【권장 조치】  
보험금 지급이 소송, 분쟁조정, 수사기관 조사로 인해 지연될 경우, 보험사가 30영업일 이내 지급예정일을 명확히 통지했는지 확인하고, 필요 시 가지급보험금(추정 보험금의 50% 이내) 청구를 안내하세요.  
[출처: 표준약관, 제8조(보험금의 지급절차), p.219-221]  
[출처: 자사_SOL건강, 제8조(보험금의 지급절차), p.48-49]  
[출처: 자사_SOL운전자, 제8조(보험금의 지급절차), p.46-47]  
[출처: 약관, 제10조(보험금의 지급절차), p.40-41]
[출처: 표준약관, 제4관 보험금의 지급 / 제8조(보험금의 지급절차) ① 회사는 제7조(보험금의 청구)에서 정한 서, p.219-221] [출처: 자사_SOL건강, 제2관 보험금의 지급 / 제8조(보험금의 지급절차), p.48-49] [출처: 약관, 제4관 보험금의 지급 / 제10조(보험금의 지급절차), p.40-41]</t>
        </is>
      </c>
      <c r="I36" s="11" t="str"/>
      <c r="J36" s="11" t="n">
        <v>2</v>
      </c>
      <c r="K36" s="11" t="str"/>
      <c r="L36" s="11" t="inlineStr">
        <is>
          <t>해외에서 발생한 사고도 같은 항목에 포함되어 있어서 언급해주면 품질이 올라갈 것으로 보임.</t>
        </is>
      </c>
    </row>
    <row r="37" ht="211.1999969482422" customHeight="1">
      <c r="A37" s="11" t="n">
        <v>36</v>
      </c>
      <c r="B37" s="11" t="inlineStr">
        <is>
          <t>additional56</t>
        </is>
      </c>
      <c r="C37" s="11" t="n">
        <v>16</v>
      </c>
      <c r="D37" s="11" t="inlineStr">
        <is>
          <t>new_20260702_016</t>
        </is>
      </c>
      <c r="E37" s="11" t="inlineStr">
        <is>
          <t>보험금 지급·청구</t>
        </is>
      </c>
      <c r="F37" s="11" t="inlineStr">
        <is>
          <t>패러프레이즈</t>
        </is>
      </c>
      <c r="G37" s="11" t="inlineStr">
        <is>
          <t>소액 보험금을 청구할 때 진단서 제출이 간소화될 수 있는지, 청구 전에 어떤 사항을 보험회사에 확인해야 하는지 핵심만 정리해줘.</t>
        </is>
      </c>
      <c r="H37" s="11" t="inlineStr">
        <is>
          <t>소액 보험금을 청구할 때 진단서 제출이 면제되는 등 청구서류가 간소화될 수 있습니다.  
청구 전에는 보험회사에 제출해야 하는 서류를 반드시 확인해야 합니다.
[출처: 자사_SOL건강, 제8조(보험금의 지급절차), p.45 / 약관, 제8조(보험금의 지급절차), p.18 / 자사_SOL운전자, 제8조(보험금의 지급절차), p.44]
[출처: 자사_SOL건강, 제7관 분쟁조정 등 ············································································································································· 63 / 제8조(보험금의 지급절차) p.45 / 별표 및 참고의 '특별약관 색인'을 활용하시면 본인이 실제 가입한 특별약관을 쉽게 찾을 수, p.13-44] [출처: 약관, 제12관 재가입에 관한 사항 등 ............................................................................................. 60 / 제55조(예금보험에 의한 지급보장) ................................................................................................................ 61 / 별표 및 참고의 '약관에서 인용된 법∙규정'을 활용하시면 약관에서 인용한 법률 조항 및 p.131, p.8-31] [출처: 자사_SOL운전자, 제7관 분쟁조정 등 ············································································································································· 60 / 제8조(보험금의 지급절차) p.44 / 별표 및 참고의 '특별약관 색인'을 활용하시면 본인이 실제 가입한 특별약관을 쉽게 찾을 수, p.9-41]</t>
        </is>
      </c>
      <c r="I37" s="11" t="str"/>
      <c r="J37" s="11" t="n">
        <v>1</v>
      </c>
      <c r="K37" s="11" t="str"/>
      <c r="L37" s="11" t="inlineStr">
        <is>
          <t>이 질문은 약관에서 검색할 수 있는 내용이라기 보다는 회사에서 자체적으로 운영하는 방식에 따라 차이가 있으므로, "소액 보험금을 청구할 때 진단서 제출이 면제되는 등 청구서류가 간소화될 수 있습니다"라고 답변하기 보다는 그냥 알 수 없다는 식으로 답변하는게 나을 것 같음.</t>
        </is>
      </c>
    </row>
    <row r="38" ht="303.6000061035156" customHeight="1">
      <c r="A38" s="11" t="n">
        <v>37</v>
      </c>
      <c r="B38" s="11" t="inlineStr">
        <is>
          <t>additional56</t>
        </is>
      </c>
      <c r="C38" s="11" t="n">
        <v>17</v>
      </c>
      <c r="D38" s="11" t="inlineStr">
        <is>
          <t>new_20260702_017</t>
        </is>
      </c>
      <c r="E38" s="11" t="inlineStr">
        <is>
          <t>보험금 지급·청구</t>
        </is>
      </c>
      <c r="F38" s="11" t="inlineStr">
        <is>
          <t>근거요구형</t>
        </is>
      </c>
      <c r="G38" s="11" t="inlineStr">
        <is>
          <t>보험금 지급사유가 발생했을 때 계약자, 피보험자 또는 보험수익자는 누구에게 통지해야 하는지 조문 근거와 함께 설명해줘.</t>
        </is>
      </c>
      <c r="H38" s="11" t="inlineStr">
        <is>
          <t>보험금 지급사유가 발생했을 때 계약자, 피보험자 또는 보험수익자는 **회사**에 그 사실을 지체 없이 통지해야 합니다.
이러한 의무는 다음과 같은 조문에 근거합니다:
- **[표준약관]** 제6조(보험금 지급사유 발생의 통지)에서는 “계약자, 피보험자 또는 보험수익자는 제3조(보장종목별 보상내용)에서 정한 보험금 지급사유가 발생한 것을 알았을 때에는 지체 없이 그 사실을 회사에 알려야 합니다.”라고 명시하고 있습니다.  
- **[약관]** 제8조(보험금 지급사유 발생의 통지)에서도 동일한 내용으로 “계약자, 피보험자 또는 보험수익자는 … 그 사실을 회사에 알려야 합니다.”라고 규정하고 있습니다.  
- **[자사_SOL건강]** 제6조(보험금 지급사유의 통지)에서는 “계약자 또는 피보험자나 보험수익자는 … 그 사실을 회사에 알려야 합니다.”라고 명시하며, 통지 대상은 동일하게 ‘회사’로 규정하고 있습니다.
모든 문서에서 통지 대상은 ‘회사’로 일관되게 명시되어 있으며, 이는 보험금 지급 사유 발생 시 보험사에 신속한 통지를 의무화하는 핵심 절차입니다.
[출처: 표준약관, 제6조(보험금 지급사유 발생의 통지), p.218]  
[출처: 약관, 제8조(보험금 지급사유 발생의 통지), p.40]  
[출처: 자사_SOL건강, 제6조(보험금 지급사유의 통지), p.48]
[출처: 표준약관, 제4관 보험금의 지급 / 제6조(보험금 지급사유 발생의 통지) 계약자, 피보험자 또는 보험수익자, p.218] [출처: 표준약관, 제4관 보험금의 지급 / 제6조(보험금 지급사유 발생의 통지) 계약자, 피보험자 또는 보험수익자, p.323-324] [출처: 약관, 제4관 보험금의 지급 / 제8조(보험금 지급사유 발생의 통지), p.40]</t>
        </is>
      </c>
      <c r="I38" s="11" t="str"/>
      <c r="J38" s="11" t="n">
        <v>5</v>
      </c>
      <c r="K38" s="11" t="str"/>
      <c r="L38" s="11" t="str"/>
    </row>
    <row r="39" ht="343.2000122070312" customHeight="1">
      <c r="A39" s="11" t="n">
        <v>38</v>
      </c>
      <c r="B39" s="11" t="inlineStr">
        <is>
          <t>additional56</t>
        </is>
      </c>
      <c r="C39" s="11" t="n">
        <v>18</v>
      </c>
      <c r="D39" s="11" t="inlineStr">
        <is>
          <t>new_20260702_018</t>
        </is>
      </c>
      <c r="E39" s="11" t="inlineStr">
        <is>
          <t>보험금 지급·청구</t>
        </is>
      </c>
      <c r="F39" s="11" t="inlineStr">
        <is>
          <t>상황형</t>
        </is>
      </c>
      <c r="G39" s="11" t="inlineStr">
        <is>
          <t>사고 발생일로부터 4년이 지났지만 보험회사가 중간에 병원 치료비를 지급한 이력이 있다. 보험금 청구권 소멸시효가 새로 진행될 수 있는지 설명해줘.</t>
        </is>
      </c>
      <c r="H39" s="11" t="inlineStr">
        <is>
          <t>■ 섹션 1️⃣  【확정 근거】  
보험회사가 병원에 치료비를 지급한 경우, 이는 민법 제168조에 따른 채무자의 ‘승인’에 해당하며, 이로 인해 보험금 청구권의 소멸시효가 중단되고, 치료비 지급일로부터 소멸시효가 새로이 진행됩니다. 대법원 판례(2011다103147, 2009다99105)에서도 보험회사의 치료비 지급을 손해배상채무 전체에 대한 승인으로 인정하고 있으며, 이는 사고 발생일로부터 4년이 경과했더라도 보험금 청구권이 소멸하지 않음을 의미합니다. 따라서 보험회사가 중간에 치료비를 지급한 시점부터 3년이 경과하지 않았다면, 보험금 청구권은 여전히 유효합니다.
■ 섹션 2️⃣  【검토 필요 사항】  
⚠️ 치료비 지급 시점이 정확히 언제인지 확인이 필요합니다. 소멸시효가 새로 시작되는 시점은 ‘보험회사가 병원에 치료비를 지급한 날’이므로, 해당 날짜를 명확히 파악해야 3년 경과 여부를 정확히 판단할 수 있습니다. 현재 컨텍스트에서는 지급 시점이 구체적으로 명시되지 않았습니다.
■ 섹션 3️⃣  【추가 확인 사항】  
해당 보험금 청구권이 어떤 종류의 보험(자동차·건강·실손 등)에 해당하는지 확인이 필요합니다. 다만, 치료비 지급에 따른 승인 효과는 자동차사고 관련 손해배상 청구권에 한정되지 않고, 실손의료비 등 보험금 청구권에도 일반적으로 적용되는 법리이므로, 보험 종류에 따라 소멸시효 기간(3년)은 동일하게 적용됩니다.
■ 섹션 4️⃣  【권장 조치】  
보험회사가 치료비를 지급한 날짜를 확인하고, 그 날짜로부터 3년이 경과하지 않았는지 확인하세요. 만약 3년 미만이라면 보험금 청구가 가능하므로, 즉시 청구 절차를 진행하는 것이 권장됩니다. 또한, 지급 내역에 대한 증빙자료(병원 결제 내역, 보험사 지급 내역서 등)를 확보해 두세요.
[출처: [상담사례집], 제2절 무보험자동차에 의한 상해, p.210]
[출처: 상담사례집, 제2절 무보험자동차에 의한 상해, p.210] [출처: 상담사례집, p.164] [출처: 자사_SOL운전자, 제7관 분쟁조정 등 / 제38조(소멸시효), p.61]</t>
        </is>
      </c>
      <c r="I39" s="11" t="str"/>
      <c r="J39" s="11" t="n">
        <v>5</v>
      </c>
      <c r="K39" s="11" t="str"/>
      <c r="L39" s="11" t="inlineStr">
        <is>
          <t xml:space="preserve">이건 실무상 거의 발생하지 않는 일이고, 실제로 사고발생일로부터 3년이 지나서 보험금을 청구하더라도 청구권 소멸시효를 주장하는 일은 거의 없음. </t>
        </is>
      </c>
    </row>
    <row r="40" ht="290.3999938964844" customHeight="1">
      <c r="A40" s="11" t="n">
        <v>39</v>
      </c>
      <c r="B40" s="11" t="inlineStr">
        <is>
          <t>additional56</t>
        </is>
      </c>
      <c r="C40" s="11" t="n">
        <v>19</v>
      </c>
      <c r="D40" s="11" t="inlineStr">
        <is>
          <t>new_20260702_019</t>
        </is>
      </c>
      <c r="E40" s="11" t="inlineStr">
        <is>
          <t>보험금 지급·청구</t>
        </is>
      </c>
      <c r="F40" s="11" t="inlineStr">
        <is>
          <t>근거요구형</t>
        </is>
      </c>
      <c r="G40" s="11" t="inlineStr">
        <is>
          <t>통원, 입원, 수술 보험금 청구 시 필요한 확인서류가 어떻게 달라질 수 있는지 기본 제출서류 관점에서 설명해줘.</t>
        </is>
      </c>
      <c r="H40" s="11" t="inlineStr">
        <is>
          <t>제공된 문서 근거에서 확인되는 범위로 답변드립니다.
청구 필요 서류: 아래 원문 근거 행을 우선 확인했습니다.
- 근거 1: (입원시) (수술시) (통원시)
  - 출처: 약관, 제33조 제8조, 별표 및 참고의 '약관에서 인용된 법∙규정'을 활용하시면 약관에서 인용한 법률 조항 및 p.131, p.8-31, chunk=약관_ch_002317, source=text
- 근거 2: (입원시) (수술시) (통원시)
  - 출처: 자사_SOL건강, 제7조, 별표 및 참고의 '특별약관 색인'을 활용하시면 본인이 실제 가입한 특별약관을 쉽게 찾을 수, p.13-44, chunk=자사_SOL건강_ch_002744, source=text
위 내용은 선택된 원문 근거 기준의 구조화 요약입니다. 실제 지급 여부는 가입 담보와 사고/진단 사실 관계를 함께 확인해야 합니다.
[출처: 자사_SOL건강, 제7관 분쟁조정 등 ············································································································································· 63 / 제8조(보험금의 지급절차) p.45 / 별표 및 참고의 '특별약관 색인'을 활용하시면 본인이 실제 가입한 특별약관을 쉽게 찾을 수, p.13-44] [출처: 자사_SOL운전자, 제7관 분쟁조정 등 ············································································································································· 60 / 제8조(보험금의 지급절차) p.44 / 별표 및 참고의 '특별약관 색인'을 활용하시면 본인이 실제 가입한 특별약관을 쉽게 찾을 수, p.9-41] [출처: 약관, 제12관 재가입에 관한 사항 등 ............................................................................................. 60 / 제55조(예금보험에 의한 지급보장) ................................................................................................................ 61 / 별표 및 참고의 '약관에서 인용된 법∙규정'을 활용하시면 약관에서 인용한 법률 조항 및 p.131, p.8-31]</t>
        </is>
      </c>
      <c r="I40" s="11" t="str"/>
      <c r="J40" s="11" t="n">
        <v>1</v>
      </c>
      <c r="K40" s="11" t="str"/>
      <c r="L40" s="11" t="inlineStr">
        <is>
          <t>물어본 내용과 전혀 다른 부분을 답변하고 있음.</t>
        </is>
      </c>
    </row>
    <row r="41" ht="528" customHeight="1">
      <c r="A41" s="11" t="n">
        <v>40</v>
      </c>
      <c r="B41" s="11" t="inlineStr">
        <is>
          <t>additional56</t>
        </is>
      </c>
      <c r="C41" s="11" t="n">
        <v>20</v>
      </c>
      <c r="D41" s="11" t="inlineStr">
        <is>
          <t>new_20260702_020</t>
        </is>
      </c>
      <c r="E41" s="11" t="inlineStr">
        <is>
          <t>보험금 지급·청구</t>
        </is>
      </c>
      <c r="F41" s="11" t="inlineStr">
        <is>
          <t>예외확인형</t>
        </is>
      </c>
      <c r="G41" s="11" t="inlineStr">
        <is>
          <t>보험금 지급사유 조사 요청에 계약자나 피보험자가 동의하지 않아 확인이 지연되는 경우 보험금 지급기한이나 지연이자 판단에 어떤 영향이 있는지 설명해줘.</t>
        </is>
      </c>
      <c r="H41" s="11" t="inlineStr">
        <is>
          <t>■ 섹션 1️⃣  【확정 근거】  
보험금 지급사유 조사 요청에 계약자나 피보험자가 정당한 사유 없이 동의하지 않을 경우, 보험금 지급이 지연되더라도 보험사는 그 지연 기간에 대한 이자를 지급하지 않습니다. 이는 보험금 지급기한이 여전히 적용되나, 지급 지연의 책임이 계약자 또는 피보험자에게 있으므로 이자 지급 의무가 면제됩니다. 또한, 보험사는 조사가 완료될 때까지 보험금 지급을 유보할 수 있으며, 이 경우 보험수익자는 조사 협조를 통해 지급을 촉진할 수 있습니다.  
또한, 추가적인 조사가 필요한 경우 보험수익자의 청구에 따라 보험사가 추정하는 보험금의 50% 상당액을 가지급보험금으로 지급할 수 있으나, 이는 계약자 또는 피보험자의 동의 여부와 무관하게 적용되는 별도의 규정입니다.  
■ 섹션 2️⃣  【검토 필요 사항】  
⚠️ 컨텍스트 3과 4에서는 “제2항에 의하여 추가적인 조사가 이루어지는 경우”라는 표현이 사용되었으나, 제2항의 구체적 내용이 컨텍스트에 명시되지 않아 “추가적인 조사”가 어떤 상황을 의미하는지 해석에 애매함이 있습니다.  
⚠️ 컨텍스트 7과 8에서는 “제14조(알릴 의무 위반의 효과)”와 “제2항의 보험금 지급사유 조사”가 병기되어 있으나, 제2항의 정의가 명확히 제공되지 않아 조사 요청의 법적 근거가 일부 불명확합니다.  
■ 섹션 3️⃣  【추가 확인 사항】  
해당 조항에서 “정당한 사유”의 기준(예: 개인정보 보호, 의료기록 접근 제한 등)에 대한 구체적 예시는 제공되지 않아, 실제 사례에서의 판단 기준이 불명확합니다.  
보험사가 조사 요청 시 “조사목적, 사용처 등을 명시하고 설명”해야 한다는 규정(컨텍스트 5, 7, 8)에 따라, 동의 거부의 정당성 여부는 보험사의 설명 수준과 관련될 수 있으므로, 이에 대한 구체적 증거(예: 서면 통지 사본)가 필요합니다.  
■ 섹션 4️⃣  【권장 조치】  
계약자 또는 피보험자는 보험사의 서면 조사 요청에 동의함으로써 보험금 지급 지연에 따른 이자 수령권을 보호해야 합니다.  
동의를 거부할 경우, 보험사에 대해 “정당한 사유”를 명확히 서면으로 제시하고, 그 사유가 인정될 수 있도록 관련 증빙(예: 개인정보 처리 동의 거부 통지, 의료기관의 비동의 사유서 등)을 확보할 것을 권장합니다.  
또한, 가지급보험금 청구를 통해 일부 보험금을 조기에 수령할 수 있으므로, 조사 협조와 병행하여 가지급 청구를 제기하는 것이 유리합니다.  
[출처: 표준약관, 제8조(보험금의 지급절차), p.149-150]  
[출처: 표준약관, 제8조(보험금의 지급절차), p.324-326]  
[출처: 상담사례집, 제2절 무보험자동차에 의한 상해, p.239]
[출처: 표준약관, 제 2 관 보험금의 지급 / 제8조(보험금의 지급절차) ① 회사는 제7조(보험금의 청구)에서 정한 서, p.5-7] [출처: 표준약관, 제 2 관 보험금의 지급 / 제8조(보험금의 지급절차) ① 회사는 제7조(보험금의 청구)에서 정한 서, p.149-150] [출처: 표준약관, 제4관 보험금의 지급 / 제8조(보험금의 지급절차) ① 회사는 제7조(보험금의 청구)에서 정한 서, p.324-326]</t>
        </is>
      </c>
      <c r="I41" s="11" t="str"/>
      <c r="J41" s="11" t="n">
        <v>5</v>
      </c>
      <c r="K41" s="11" t="str"/>
      <c r="L41" s="11" t="str"/>
    </row>
    <row r="42" ht="514.7999877929688" customHeight="1">
      <c r="A42" s="11" t="n">
        <v>41</v>
      </c>
      <c r="B42" s="11" t="inlineStr">
        <is>
          <t>additional56</t>
        </is>
      </c>
      <c r="C42" s="11" t="n">
        <v>21</v>
      </c>
      <c r="D42" s="11" t="inlineStr">
        <is>
          <t>new_20260702_021</t>
        </is>
      </c>
      <c r="E42" s="11" t="inlineStr">
        <is>
          <t>보상하는/하지 않는 사항</t>
        </is>
      </c>
      <c r="F42" s="11" t="inlineStr">
        <is>
          <t>상황형</t>
        </is>
      </c>
      <c r="G42" s="11" t="inlineStr">
        <is>
          <t>상해 치료 후 한의원에서 피부재생 침치료를 받았고 진료비 전액이 비급여로 표시되었다. 한방의료비에 대한 실손 보상 가능성을 어떻게 안내해야 하나?</t>
        </is>
      </c>
      <c r="H42" s="11" t="inlineStr">
        <is>
          <t>■ 섹션 1️⃣  【확정 근거】  
상해 치료 후 한의원에서 받은 피부재생 침치료는 통원 치료에 해당하며, 진료비 전액이 비급여로 표시되었더라도 실손의료보험에서 보상되지 않습니다.  
이유는 다음과 같습니다:  
1) 가입한 실손의료보험 상품(2007년 6월 가입)의 약관에 따라, 한의원에서의 **통원의료비는 급여·비급여 모두 보상하지 않는 사항**으로 명시되어 있습니다.  
2) 한방 통원치료(예: 침치료)는 국민건강보험 급여 항목이 아니며, 비급여로 분류되더라도 실손의료보험의 보상 범위에서 제외됩니다.  
3) 이는 약관상 한방의료비에 대한 지급 범위 제한 조항에 근거하며, 특히 ‘피부재생 침치료’와 같은 한방 치료는 보상 대상에서 제외됩니다.  
■ 섹션 2️⃣  【검토 필요 사항】  
⚠️ 해당 사례는 2007년 가입 상품을 기준으로 하였으나, 현재 가입 상품이 갱신형(2022년 이후)이라면 ‘유형2: 한방비급여 의료비 면책’ 조항이 적용될 수 있습니다.  
- 2022년 이후 가입 상품은 “약침이나 추나요법 등 한방치료에서 발생한 국민건강보험법상 요양급여에 해당하지 않는 비급여 의료비는 보상하지 않는다”고 명시되어 있으므로, 동일한 결론이 적용됩니다.  
→ 다만, 질문에서 명시된 가입 시점(2007년)에 따라 2007년 약관 기준으로 답변을 고정하였으므로, 현재 상품이 갱신되었는지 여부는 추가 확인이 필요합니다.  
■ 섹션 3️⃣  【추가 확인 사항】  
해당 치료가 ‘입원’이 아닌 ‘통원’으로 이루어졌는지, 그리고 한의원에서 발급한 영수증에 ‘통원’ 여부가 명확히 기재되었는지 확인이 필요합니다.  
또한, 피부재생 침치료가 ‘첨단재생의료’ 또는 ‘신의료기술’로 분류되지 않았는지도 확인해야 하며, 이 경우 별도의 심의 통보 여부에 따라 보상 가능성이 달라질 수 있으나, 현재 컨텍스트에는 해당 내용이 없습니다.  
■ 섹션 4️⃣  【권장 조치】  
- 고객에게 “한의원 통원 치료는 실손의료보험에서 보상하지 않는 사항”임을 명확히 안내하고, 영수증상 ‘통원’ 표기와 한방 치료 종류(침치료)를 확인하도록 요청하세요.  
- 향후 한방 치료를 받을 계획이라면, ‘한방 입원’만 보상 가능하므로 입원 치료로 전환할 수 있는지 의료기관과 상의하도록 권고하세요.  
- 보험상품이 갱신형이라면, 현재 약관의 ‘한방비급여 면책’ 조항을 재확인하여 고객에게 설명할 것을 권장합니다.  
[출처: 상담사례집, 제2절 무보험자동차에 의한 상해, p.256]
[출처: 약관, 제12관 재가입에 관한 사항 등 / 제1조(보장종목), p.69] [출처: 약관, 제12관 재가입에 관한 사항 등 ............................................................................................. 60 / 제55조(예금보험에 의한 지급보장) ................................................................................................................ 61 / 별표 및 참고의 '약관에서 인용된 법∙규정'을 활용하시면 약관에서 인용한 법률 조항 및 p.131, p.8-31] [출처: 표준약관, 제10관 분쟁의 조정 등 / 제4조(보상하지 않는 사항) 회사가 보상하지 않는 사항은 보장종목별로, p.384-395]</t>
        </is>
      </c>
      <c r="I42" s="11" t="str"/>
      <c r="J42" s="11" t="n">
        <v>1</v>
      </c>
      <c r="K42" s="11" t="str"/>
      <c r="L42" s="11" t="inlineStr">
        <is>
          <t>답변에서 실손의료보험 상품(2007년 6월 가입)이라고 명시되어 있는데, 프롬프트에 해당 내용이 없는데도 불구하고 입의로 답변함(아마 소비자 민원 사례집 내용을 기준으로 답변한 것 같음) 몇세대 상품인지를 기재해달라고 역질문을 하는 등의 방법을 고려해야 할 것으로 보임.</t>
        </is>
      </c>
    </row>
    <row r="43" ht="514.7999877929688" customHeight="1">
      <c r="A43" s="11" t="n">
        <v>42</v>
      </c>
      <c r="B43" s="11" t="inlineStr">
        <is>
          <t>additional56</t>
        </is>
      </c>
      <c r="C43" s="11" t="n">
        <v>22</v>
      </c>
      <c r="D43" s="11" t="inlineStr">
        <is>
          <t>new_20260702_022</t>
        </is>
      </c>
      <c r="E43" s="11" t="inlineStr">
        <is>
          <t>보상하는/하지 않는 사항</t>
        </is>
      </c>
      <c r="F43" s="11" t="inlineStr">
        <is>
          <t>예외확인형</t>
        </is>
      </c>
      <c r="G43" s="11" t="inlineStr">
        <is>
          <t>치과질환 K00-K08로 치료받은 경우 질병통원과 질병입원에서 실손 보상 여부가 어떻게 달라질 수 있는지 설명해줘.</t>
        </is>
      </c>
      <c r="H43" s="11" t="inlineStr">
        <is>
          <t>■ 섹션 1️⃣  【확정 근거】  
치과질환(K00∼K08)에 대한 치료는, **질병통원** 및 **질병입원** 모두에서 실손의료보험에서 **보상하지 않습니다**.  
- **질병통원**: [약관] 및 [표준약관] 모두에서 ‘치과치료(K00∼K08)’를 비급여의료비로 명시하여 보상하지 않는 사항으로 규정하고 있습니다. 이는 통원 치료에 한정되지 않고, 치과질환에 따른 모든 의료비를 포함합니다.  
- **질병입원**: [상담사례집] p.257에서는 “질병입원의 경우 대상병원에서 제외하고 있지는 않지만, 치아우식증, 치아 및 치주질환 등의 치과질환(K00-K08)을 보상범위에서 제외하고 있음”이라고 명시하여, 입원이라 하더라도 치과질환에 따른 치료는 보상 대상이 아니라고 분명히 밝혔습니다.  
- [약관] 및 [표준약관] 제4조(보상하지 않는 사항) ③항에서도 “치과치료(K00∼K08)”를 보상하지 않는 비급여 의료비로 명시하고 있으며, 입원 여부와 무관하게 적용됩니다.  
따라서, 치과질환(K00∼K08)에 대한 치료는 **질병통원과 질병입원 모두에서 보상 불가**합니다.  
■ 섹션 2️⃣  【검토 필요 사항】  
⚠️ [상담사례집] p.257에서 “질병입원의 경우 대상병원에서 제외하고 있지는 않다”는 표현은, 입원 가능한 병원 범위(예: 종합병원, 병원 등)는 제한하지 않지만, **진단코드(K00-K08) 자체가 보상 제외 대상**임을 의미합니다. 이는 병원 유형과 보상 범위를 혼동할 수 있는 표현이므로, 보상 여부는 진단코드 기준으로 판단해야 하며, 이에 대한 추가 해석이 필요합니다.  
■ 섹션 3️⃣  【추가 확인 사항】  
해당 문서들에서 치과질환(K00-K08)에 대한 입원 치료가 특별히 예외적으로 보상되는 사례(예: 외상으로 인한 치아 손상 등)는 언급되지 않았습니다. 모든 문서가 K00-K08을 **일괄적으로 보상 제외** 대상으로 명시하고 있어, 추가 예외 조항은 존재하지 않습니다.  
■ 섹션 4️⃣  【권장 조치】  
피보험자가 치과질환(K00-K08)으로 통원 또는 입원 치료를 받는 경우, 실손의료보험 보상이 불가함을 사전에 안내하고, 치과 특화 보험 또는 치과치료 보장이 포함된 종합건강보험 상품으로 전환을 권장해야 합니다.  
[출처: 상담사례집, 제2절 무보험자동차에 의한 상해, p.257]  
[출처: 약관, 제4조(보상하지 않는 사항), p.78-84]  
[출처: 표준약관, 제4조(보상하지 않는 사항), p.387]  
[출처: 표준약관, 제4조(보상하지 않는 사항), p.300]  
[출처: 표준약관, 제4조(보상하지 않는 사항), p.414]
[출처: 약관, 제12관 재가입에 관한 사항 등 / 제4조(보상하지 않는 사항), p.78-84] [출처: 표준약관, 제10관 분쟁의 조정 등 / 제4조(보상하지 않는 사항) 회사가 보상하지 않는 사항은 보장종목별로, p.384-395] [출처: 표준약관, 제10관 분쟁의 조정 등 / 제4조(보상하지 않는 사항) 회사가 보상하지 않는 사항은 보장종목별로, p.296-309]</t>
        </is>
      </c>
      <c r="I43" s="11" t="str"/>
      <c r="J43" s="11" t="n">
        <v>1</v>
      </c>
      <c r="K43" s="11" t="str"/>
      <c r="L43" s="11" t="inlineStr">
        <is>
          <t>당사에서 판매하는 실손의료비 4세대, 5세대는 입원, 통원 관계없이 급여는 보상함. 답변의 내용은 표준화(2009.10) 이전 상품을 기준으로 답변한 것으로 보임.</t>
        </is>
      </c>
    </row>
    <row r="44" ht="422.3999938964844" customHeight="1">
      <c r="A44" s="11" t="n">
        <v>43</v>
      </c>
      <c r="B44" s="11" t="inlineStr">
        <is>
          <t>additional56</t>
        </is>
      </c>
      <c r="C44" s="11" t="n">
        <v>23</v>
      </c>
      <c r="D44" s="11" t="inlineStr">
        <is>
          <t>new_20260702_023</t>
        </is>
      </c>
      <c r="E44" s="11" t="inlineStr">
        <is>
          <t>보상하는/하지 않는 사항</t>
        </is>
      </c>
      <c r="F44" s="11" t="inlineStr">
        <is>
          <t>근거요구형</t>
        </is>
      </c>
      <c r="G44" s="11" t="inlineStr">
        <is>
          <t>미용 성형 목적 수술, 피임 목적 수술, 검사·진단 목적 수술이 수술급여금 지급대상에서 제외되는지 Claim 실무 기준으로 설명해줘.</t>
        </is>
      </c>
      <c r="H44" s="11" t="inlineStr">
        <is>
          <t>■ 섹션 1️⃣  【확정 근거】  
미용 성형 목적 수술, 피임 목적 수술, 검사·진단 목적 수술은 Claim 실무 기준에 따라 수술급여금 지급대상에서 명시적으로 보장을 제외합니다.  
- **미용 성형상의 수술**: 모든 문서에서 공통적으로 보장 제외 대상으로 명시됨.  
- **피임 목적의 수술**: 컨텍스트 3, 4, 7, 8에서는 “피임(避妊) 목적의 수술” 또는 “피임(66%) 목적의 수술”로 명시되며, 보장 제외 대상임.  
- **검사 및 진단을 위한 수술**: 생검, 복강경 검사 등이 구체적으로 예시로 제시되며, 컨텍스트 3, 4, 7, 8에서 “검사 및 진단을 위한 수술”이 보장 제외 대상으로 명확히 기재됨.  
컨텍스트 7과 8(자사_SOL건강)은 보험계약상 수술보험금 지급대상에서의 제외 규정을 명시하며, 이는 Claim 실무의 준용 기준으로 적용됨.  
■ 섹션 2️⃣  【검토 필요 사항】  
⚠️ 컨텍스트 1, 2, 5, 6에서는 “복강경 검사( ( ) 몸을 등” 또는 “복강경 검사() 손솔출) 등”과 같이 OCR 오류로 인해 문장이 완전히 인식되지 않음.  
→ 원본(v1)과 보정본(v2) 간 불일치 가능성 있음.  
→ **검토 필요**: 복강경 검사의 정확한 표기 및 생검의 한자 표기(생검 vs. 보셨)가 Claim 심사 시 기준으로 정확히 적용되는지, 자사_SOL건강(컨텍스트 7, 8)의 정식 표기(腹腔鏡檢査, 生檢)를 기준으로 통일할 필요 있음.  
■ 섹션 3️⃣  【추가 확인 사항】  
해당 없음  
■ 섹션 4️⃣  【권장 조치】  
Claim 심사 시에는 자사_SOL건강 [별표7]의 명확한 표기(생검(生檢), 복강경 검사(腹腔鏡檢査))를 기준으로 적용하고, OCR 오류가 있는 컨텍스트(1, 2, 5, 6)는 보완 자료로만 활용할 것.  
피임 목적 수술의 경우, “피임(避妊)”이라는 법적·의학적 용어를 사용하여 심사 기준을 통일할 것.  
[출처: 실무가이드, 제1장 수술분류표 해설, p.18 / 실무가이드, 제1장 수술분류표 해설, p.32 / 자사_SOL건강, 제7관 제5조 [별표7], p.389]
[출처: 실무가이드, 제1장 수술분류표 해설, p.18] [출처: 실무가이드, 제1장 수술분류표 해설, p.32] [출처: 실무가이드, 제1장 수술분류표 해설, p.13]</t>
        </is>
      </c>
      <c r="I44" s="11" t="str"/>
      <c r="J44" s="11" t="n">
        <v>1</v>
      </c>
      <c r="K44" s="11" t="str"/>
      <c r="L44" s="11" t="inlineStr">
        <is>
          <t>틀린 답변이라고는 할 수 없지만, 약관상의 근거 등을 임의 요약없이 명시해줬으면 더 좋은 답변일 것이라 보임.</t>
        </is>
      </c>
    </row>
    <row r="45" ht="145.1999969482422" customHeight="1">
      <c r="A45" s="11" t="n">
        <v>44</v>
      </c>
      <c r="B45" s="11" t="inlineStr">
        <is>
          <t>additional56</t>
        </is>
      </c>
      <c r="C45" s="11" t="n">
        <v>24</v>
      </c>
      <c r="D45" s="11" t="inlineStr">
        <is>
          <t>new_20260702_024</t>
        </is>
      </c>
      <c r="E45" s="11" t="inlineStr">
        <is>
          <t>보상하는/하지 않는 사항</t>
        </is>
      </c>
      <c r="F45" s="11" t="inlineStr">
        <is>
          <t>패러프레이즈</t>
        </is>
      </c>
      <c r="G45" s="11" t="inlineStr">
        <is>
          <t>자동차보험이나 산재보험에서 보상받는 의료비가 실손의료보험에서 다시 보상되는지 핵심만 정리해줘.</t>
        </is>
      </c>
      <c r="H45" s="11" t="inlineStr">
        <is>
          <t>자동차보험이나 산재보험에서 이미 보상받은 의료비는 실손의료보험에서 보상하지 않습니다. 다만, 자동차보험이나 산재보험에서 과실상계 등으로 인해 피보험자가 실제로 본인이 부담한 의료비(본인부담금)에 대해서는 실손의료보험에서 보상 가능합니다. 이 경우, 2016년 1월 이후 가입한 상품은 본인부담의료비의 80%를, 2015년 12월 이전 상품은 40%를 보상합니다. 단, 비급여의료비와 자동차보험/산재보험에서 발생한 본인부담의료비는 기본형 실손의료보험에서 보상하지 않는 특별약관이 적용됩니다.
[출처: 심평원, [상담사례집] 제2절 무보험자동차에 의한 상해, p.259-260]  
[출처: 약관, 제3관 제5조, p.38]  
[출처: 심평원, [상담사례집], p.100]
[출처: 상담사례집, 제2절 무보험자동차에 의한 상해, p.259] [출처: 상담사례집, 제2절 무보험자동차에 의한 상해, p.260] [출처: 상담사례집, p.100]</t>
        </is>
      </c>
      <c r="I45" s="11" t="str"/>
      <c r="J45" s="11" t="n">
        <v>1</v>
      </c>
      <c r="K45" s="11" t="str"/>
      <c r="L45" s="11" t="inlineStr">
        <is>
          <t>2016.01.01 이후 가입한 상품은 80%를 보상한다고 하는데 급여인지, 비급여인지 등에 대한 명시가 없음. 이 부분은 소비자민원사례집을 DB화 해서 인 것으로 보임. 이 내용은 당사 4세대, 5세대 약관을 근거로만 답변하도록 만들 수 있는지? 그리고 특정단어가 포함된 질문은 모든 DB를 검색하는 것이 아닌 미리 설정한 DB만 선택적으로 검색해서 답변할 수 있도록 만들 수 있는지?</t>
        </is>
      </c>
    </row>
    <row r="46" ht="237.6000061035156" customHeight="1">
      <c r="A46" s="11" t="n">
        <v>45</v>
      </c>
      <c r="B46" s="11" t="inlineStr">
        <is>
          <t>additional56</t>
        </is>
      </c>
      <c r="C46" s="11" t="n">
        <v>25</v>
      </c>
      <c r="D46" s="11" t="inlineStr">
        <is>
          <t>new_20260702_025</t>
        </is>
      </c>
      <c r="E46" s="11" t="inlineStr">
        <is>
          <t>보상하는/하지 않는 사항</t>
        </is>
      </c>
      <c r="F46" s="11" t="inlineStr">
        <is>
          <t>기존</t>
        </is>
      </c>
      <c r="G46" s="11" t="inlineStr">
        <is>
          <t>외국에 있는 의료기관에서 발생한 치료비는 실손의료보험에서 보상되나?</t>
        </is>
      </c>
      <c r="H46" s="11" t="inlineStr">
        <is>
          <t>외국에 있는 의료기관에서 발생한 의료비는 실손의료보험에서 보상하지 않습니다. 다만, 해외여행 중에 질병으로 인해 해외 의료기관에서 치료를 받은 경우는 예외적으로 보상됩니다.
구체적으로, **제4조(보상하지 않는 사항)**에서는 「국민건강보험법」 제42조의 요양기관이 아닌 외국에 있는 의료기관에서 발생한 의료비를 보상하지 않는 사항으로 명시하고 있습니다.  
그러나 **제3조(보장종목별 보상내용)**에서는 피보험자가 보험증권에 기재된 해외여행 중 질병으로 인해 해외 의료기관에서 의사의 치료를 받은 경우, 보험가입금액을 한도로 실제 부담한 의료비 전액을 보상한다고 규정하고 있습니다.
따라서, 일반적인 외국 의료기관 이용은 보상하지 않으나, **보험증권에 기재된 해외여행 중 발생한 질병 치료비**에 한해 보상됩니다.
[출처: 약관, 제4조(보상하지 않는 사항), p.78 / 표준약관, 제4조(보상하지 않는 사항), p.276 / 표준약관, 제3조(보장종목별 보상내용), p.314]
[출처: 약관, 제12관 재가입에 관한 사항 등 / 제4조(보상하지 않는 사항), p.78-84] [출처: 표준약관, 제10관 분쟁의 조정 등 / 제4조(보상하지 않는 사항) 회사가 보상하지 않는 사항은 보장종목별로, p.268-279] [출처: 표준약관, 제10관 분쟁의 조정 등 / 제4조(보상하지 않는 사항) 회사가 보상하지 않는 사항은 보장종목별로, p.384-395]</t>
        </is>
      </c>
      <c r="I46" s="11" t="str"/>
      <c r="J46" s="11" t="n">
        <v>1</v>
      </c>
      <c r="K46" s="11" t="str"/>
      <c r="L46" s="11" t="inlineStr">
        <is>
          <t>답변 첫문장만 보면 여행자보험 실손의료비를 가입하지 않고, 일반 실비를 가입한 고객도,  해외여행 중 질병으로 해외 의료기관에서 치료를 받은 경우 예외적으로 보상된다고 오해할 수 있음.</t>
        </is>
      </c>
    </row>
    <row r="47" ht="290.3999938964844" customHeight="1">
      <c r="A47" s="11" t="n">
        <v>46</v>
      </c>
      <c r="B47" s="11" t="inlineStr">
        <is>
          <t>additional56</t>
        </is>
      </c>
      <c r="C47" s="11" t="n">
        <v>26</v>
      </c>
      <c r="D47" s="11" t="inlineStr">
        <is>
          <t>new_20260702_026</t>
        </is>
      </c>
      <c r="E47" s="11" t="inlineStr">
        <is>
          <t>비급여 실손의료비 특약</t>
        </is>
      </c>
      <c r="F47" s="11" t="inlineStr">
        <is>
          <t>근거요구형</t>
        </is>
      </c>
      <c r="G47" s="11" t="inlineStr">
        <is>
          <t>직전 2년 동안 무사고 판정기간에 비급여 보험금 지급실적이 없으면 보험료 할인이 적용될 수 있는지 약관 기준으로 설명해줘.</t>
        </is>
      </c>
      <c r="H47" s="11" t="inlineStr">
        <is>
          <t>직전 2년 동안 무사고 판정기간에 비급여 보험금 지급실적이 없으면, 보험료에 10% 할인이 적용될 수 있습니다.  
이에 대한 근거는 약관에서 다음과 같이 명시되어 있습니다:  
&gt; “할인10%: 직전 2년 간 유효한 실손의료 보험 계약에서 '무사고 판정기간' 동안 비급여 보험금 지급실적이 없는 경우 영업보험료의 10%를 할인하여 드립니다. [단, 4대중증질환(암/뇌혈관/심장/희귀난치성 질환)으로 인한 비급여 의료비에 대한 보험금은 제외]”  
이 규정은 비급여 보험금 지급 실적이 **전체 2년간 없을 경우**에만 적용되며, 4대중증질환에 의한 지급은 제외 대상입니다. 따라서, 2년간 단 한 건의 비급여 보험금 지급도 없었다면 10% 할인이 적용되며, 4대중증질환 관련 지급이 있더라도 그 외의 비급여 지급이 없다면 여전히 할인 대상이 됩니다.  
또한, 이 할인은 ‘직전 2년 간 유효한 실손의료 보험 계약’을 기준으로 하므로, 계약이 중단되었다가 재가입한 경우에도 이전 계약 기간이 유효하게 반영됩니다.  
[출처: 약관, 제12관 재가입에 관한 사항 등, p.8-31]
[출처: 상담사례집, 제2절 무보험자동차에 의한 상해, p.267] [출처: 약관, 제12관 재가입에 관한 사항 등 ............................................................................................. 60 / 제55조(예금보험에 의한 지급보장) ................................................................................................................ 61 / 별표 및 참고의 '약관에서 인용된 법∙규정'을 활용하시면 약관에서 인용한 법률 조항 및 p.131, p.8-31] [출처: 표준약관, 제10관 분쟁의 조정 등 / 제6조(보험료의 계산) ① 보험기간이 종료되어 갱신되는 계약(이하 ‘갱신, p.310-311]</t>
        </is>
      </c>
      <c r="I47" s="11" t="str"/>
      <c r="J47" s="11" t="str"/>
      <c r="K47" s="11" t="str"/>
      <c r="L47" s="11" t="inlineStr">
        <is>
          <t>주1) ( )은 직전 2년 무사고시 보험료 10%할인 추가 적용 기준 
약관상에는 위와 같이 나와있는데 "영업"보험료라는 말은 오해의 소지가 있음. 그리고 4대 중증질환 이라는 말보다는 산정특례 질환으로 지급된 비급여 보험금은 할증에 반영하지 않는다고 답하는 것이 더 적절함.</t>
        </is>
      </c>
    </row>
    <row r="48" ht="198" customHeight="1">
      <c r="A48" s="11" t="n">
        <v>47</v>
      </c>
      <c r="B48" s="11" t="inlineStr">
        <is>
          <t>additional56</t>
        </is>
      </c>
      <c r="C48" s="11" t="n">
        <v>27</v>
      </c>
      <c r="D48" s="11" t="inlineStr">
        <is>
          <t>new_20260702_027</t>
        </is>
      </c>
      <c r="E48" s="11" t="inlineStr">
        <is>
          <t>비급여 실손의료비 특약</t>
        </is>
      </c>
      <c r="F48" s="11" t="inlineStr">
        <is>
          <t>예외확인형</t>
        </is>
      </c>
      <c r="G48" s="11" t="inlineStr">
        <is>
          <t>4대 중증질환으로 인한 비급여 의료비 보험금이 무사고자 할인 판단에서 어떻게 취급되는지 제한 조건을 포함해 설명해줘.</t>
        </is>
      </c>
      <c r="H48" s="11" t="inlineStr">
        <is>
          <t>4대 중증질환(암/뇌혈관질환/심장질환/희귀난치성 질환)으로 인한 비급여 의료비에 대한 보험금은, 무사고자 할인(10% 할인)의 판단 기준에서 **제외**됩니다. 즉, 이들 질환으로 인해 발생한 비급여 보험금 지급 실적이 있어도, ‘무사고 판정기간’으로 간주되지 않으며, 할인 대상에서 제외되지 않습니다. 이는 4대 중증질환은 의료비 부담이 크고 예측 불가능한 고위험 질환으로 간주되어, 해당 보험금 지급을 ‘사고’로 간주하지 않음으로써 보험료 할인 혜택을 유지하도록 한 제도적 배려입니다.
이러한 제한 조건은 “무사고자 할인 10%” 항목에서 명시적으로 “단, 4대중증질환(암/뇌혈관/심장/희귀난치성 질환)으로 인한 비급여 의료비에 대한 보험금은 제외”라고 규정하고 있습니다.
[출처: 약관, 제12관 재가입에 관한 사항 등, p.60]
[출처: 약관, 제12관 재가입에 관한 사항 등 ............................................................................................. 60 / 제55조(예금보험에 의한 지급보장) ................................................................................................................ 61 / 별표 및 참고의 '약관에서 인용된 법∙규정'을 활용하시면 약관에서 인용한 법률 조항 및 p.131, p.8-31] [출처: 상담사례집, 제2절 무보험자동차에 의한 상해, p.264] [출처: 상담사례집, p.106]</t>
        </is>
      </c>
      <c r="I48" s="11" t="str"/>
      <c r="J48" s="11" t="n">
        <v>3</v>
      </c>
      <c r="K48" s="11" t="str"/>
      <c r="L48" s="11" t="inlineStr">
        <is>
          <t>틀린건 아니지만 아쉬움. 위 내용과 동일</t>
        </is>
      </c>
    </row>
    <row r="49" ht="712.7999877929688" customHeight="1">
      <c r="A49" s="11" t="n">
        <v>48</v>
      </c>
      <c r="B49" s="11" t="inlineStr">
        <is>
          <t>additional56</t>
        </is>
      </c>
      <c r="C49" s="11" t="n">
        <v>28</v>
      </c>
      <c r="D49" s="11" t="inlineStr">
        <is>
          <t>new_20260702_028</t>
        </is>
      </c>
      <c r="E49" s="11" t="inlineStr">
        <is>
          <t>비급여 실손의료비 특약</t>
        </is>
      </c>
      <c r="F49" s="11" t="inlineStr">
        <is>
          <t>근거요구형</t>
        </is>
      </c>
      <c r="G49" s="11" t="inlineStr">
        <is>
          <t>비급여 자기공명영상진단 특약에서 MRI와 MRA가 같은 보장종목으로 관리되는지, 보상한도 판단 시 어떤 점을 확인해야 하는지 설명해줘.</t>
        </is>
      </c>
      <c r="H49" s="11" t="inlineStr">
        <is>
          <t>■ 섹션 1️⃣  【확정 근거】  
비급여 자기공명영상진단(MRI/MRA)은 실손의료보험 특별약관2에서 동일한 보장종목으로 관리됩니다.  
- [표준약관] 제1조(보장종목)에서 ‘비급여 자기공명영상진단형’ 보장종목은 ‘자기공명영상진단’을 보상 대상으로 명시하며, 이는 MRI 및 MRA를 모두 포함하는 개념으로 해석됩니다.  
- [상담사례집] p.236에서도 “비급여 자기공명영상진단(MRI/MRA)”이라는 표현을 동일하게 사용하며, MRI와 MRA를 구분하지 않고 동일한 보상 기준(공제금액, 연간 한도)을 적용하고 있습니다.  
- 보상한도 판단 시에는 다음과 같은 요소를 확인해야 합니다:  
  1) **공제금액**:  
     - ‘17년 4월 1일 이후 가입자 중 ‘21년 7월 이전 가입자: 1회당 2만원과 보장대상의료비의 30% 중 큰 금액  
     - ‘21년 7월 이후 가입자: 1회당 3만원과 보장대상의료비의 30% 중 큰 금액  
  2) **연간 보장한도**:  
     - [상담사례집] 기준: 연간 300만원  
     - [표준약관] 기준: 연간 200만원 (표1에 명시된 비급여 자기공명영상진단 보장한도)  
  3) **보장종목 가입 여부**:  
     - 비급여 자기공명영상진단형 특약에 가입한 경우에만 보상 가능 (표준약관 제1조)  
     - 일반 비급여형(상해/질병) 특약은 MRI/MRA를 제외하므로 별도 특약 필요  
■ 섹션 2️⃣  【검토 필요 사항】  
⚠️ [상담사례집]과 [표준약관] 간 연간 보장한도 충돌:  
- [상담사례집]은 연간 300만원으로 명시  
- [표준약관]은 연간 200만원으로 명시  
→ 이는 보험사별 특약 설계 차이 또는 문서 간 적용 기준 차이로 인한 것으로, 실제 보상 시 계약서상의 약관 내용을 우선 확인해야 함.  
⚠️ [자사_SOL운전자] p.91은 MRI 촬영 시점의 급여·비급여 목록표 기준을 고수하나, 보상한도나 공제금액에 대한 언급은 없음.  
→ 보상한도는 약관(표준약관/상담사례집)에서 정의되며, 촬영 시점의 코드 변경은 보장 여부 판단에만 영향을 미침.  
■ 섹션 3️⃣  【추가 확인 사항】  
- ‘비급여 자기공명영상진단형’ 특약이 가입된 계약서의 정확한 보장한도(200만원 vs 300만원)를 확인해야 함.  
- 보험사별로 ‘상담사례집’이 표준 약관을 대체하는지 여부(예: 자사_SOL운전자와 표준약관의 관계)를 명확히 해야 함.  
- MRA가 MRI와 동일한 코드로 분류되는지, 건강보험심사평가원의 ‘건강보험 행위 급여·비급여 목록표’에서 MRA가 MRI와 별도 코드로 존재하는지 확인 필요.  
■ 섹션 4️⃣  【권장 조치】  
1) 피보험자가 가입한 계약서의 ‘특별약관2’에서 명시된 ‘비급여 자기공명영상진단형’의 보장한도(200만원 또는 300만원)를 우선 확인.  
2) 공제금액은 가입일 기준으로 ‘21년 7월 이전/이후’를 구분하여 적용.  
3) MRI 및 MRA는 동일한 보장종목으로 간주하되, 실제 청구 시 의료기관에서 발급한 진료비 내역서에 ‘MRI’ 또는 ‘MRA’ 코드가 명시된 것을 확인.  
4) [자사_SOL운전자]와 [표준약관]이 동일한 보험사 제품인지 확인하여, 적용 약관을 정확히 식별.  
[출처: 상담사례집, 제2절 무보험자동차에 의한 상해, p.236]  
[출처: 표준약관, 제3조(보장종목별 보상내용), p.293]  
[출처: 표준약관, 제1조(보장종목), p.283]  
[출처: 자사_SOL운전자, 제3조(급여 상해 MRI검사의 정의 및 장소), p.91]
[출처: 표준약관, 제10관 분쟁의 조정 등 / 제3조(보장종목별 보상내용) 회사가 이 계약의 보험기간 중 보상하거나, p.286-296] [출처: 표준약관, 제10관 분쟁의 조정 등 / 제1조(보장종목) ① 회사가 판매하는 실손의료보험 특별약관2(이하 ‘특별약관2’, p.283] [출처: 자사_SOL운전자, 제7관 분쟁조정 등 / 제3조(급여 상해 MRI검사의 정의 및 장소), p.91]</t>
        </is>
      </c>
      <c r="I49" s="11" t="str"/>
      <c r="J49" s="11" t="n">
        <v>5</v>
      </c>
      <c r="K49" s="11" t="str"/>
      <c r="L49" s="11" t="str"/>
    </row>
    <row r="50" ht="211.1999969482422" customHeight="1">
      <c r="A50" s="11" t="n">
        <v>49</v>
      </c>
      <c r="B50" s="11" t="inlineStr">
        <is>
          <t>additional56</t>
        </is>
      </c>
      <c r="C50" s="11" t="n">
        <v>29</v>
      </c>
      <c r="D50" s="11" t="inlineStr">
        <is>
          <t>new_20260702_029</t>
        </is>
      </c>
      <c r="E50" s="11" t="inlineStr">
        <is>
          <t>다수보험 처리</t>
        </is>
      </c>
      <c r="F50" s="11" t="inlineStr">
        <is>
          <t>근거요구형</t>
        </is>
      </c>
      <c r="G50" s="11" t="inlineStr">
        <is>
          <t>다수보험에서 각 계약의 보상책임액 합계가 보상대상의료비 중 최고액을 초과하면 각 보험사는 어떤 방식으로 보험금을 나누어 지급하는지 설명해줘.</t>
        </is>
      </c>
      <c r="H50" s="11" t="inlineStr">
        <is>
          <t>다수보험에서 각 계약의 보상책임액 합계가 보상대상의료비 중 최고액을 초과하는 경우, 보험사는 다음과 같은 방식으로 보험금을 비례분담하여 지급합니다:
각 계약별 비례분담액 =  
(각 계약의 보장대상의료비 중 최고액 - 각 계약의 피보험자부담 공제금액 중 최소액) × (각 계약별 보장책임액 ÷ 각 계약별 보장책임액을 합한 금액)
이 방식은 2016년 1월 1일 이후 적용되는 실손의료보험 표준약관(제37조) 및 보험약관(제38조)에 명시된 공식이며, 입원·외래·처방조제를 각각 구분하여 계산합니다. 단, 컨텍스트 1과 2에 제시된 “최고액”만을 분모로 사용하는 단순 비례식은, 피보험자부담 공제금액을 차감하지 않는 구식 방식으로, 현재는 적용되지 않습니다. 현재 유효한 방식은 공제금액을 차감한 금액을 기준으로 계산하는 것입니다.
[출처: 표준약관, 제37조(다수보험의 처리), p.244]
[출처: 상담사례집, 제2절 무보험자동차에 의한 상해, p.245] [출처: 약관, 제9관 다수보험의 처리 등 / 제38조(다수보험의 처리), p.57] [출처: 표준약관, 제9관 다수보험의 처리 등 / 제37조(다수보험의 처리) ① 다수보험의 경우 각 계약의 보장대상의료비, p.244]</t>
        </is>
      </c>
      <c r="I50" s="11" t="str"/>
      <c r="J50" s="11" t="n">
        <v>5</v>
      </c>
      <c r="K50" s="11" t="str"/>
      <c r="L50" s="11" t="str"/>
    </row>
    <row r="51" ht="422.3999938964844" customHeight="1">
      <c r="A51" s="11" t="n">
        <v>50</v>
      </c>
      <c r="B51" s="11" t="inlineStr">
        <is>
          <t>additional56</t>
        </is>
      </c>
      <c r="C51" s="11" t="n">
        <v>30</v>
      </c>
      <c r="D51" s="11" t="inlineStr">
        <is>
          <t>new_20260702_030</t>
        </is>
      </c>
      <c r="E51" s="11" t="inlineStr">
        <is>
          <t>다수보험 처리</t>
        </is>
      </c>
      <c r="F51" s="11" t="inlineStr">
        <is>
          <t>상황형</t>
        </is>
      </c>
      <c r="G51" s="11" t="inlineStr">
        <is>
          <t>2007년 개인실손, 2013년 개인실손, 2019년 단체실손에 모두 가입한 사람이 같은 의료비를 청구했다. 2016년 전후 산식 차이를 고려해 어떻게 판단해야 하는지 설명해줘.</t>
        </is>
      </c>
      <c r="H51" s="11" t="inlineStr">
        <is>
          <t>■ 섹션 1️⃣  【확정 근거】  
2016년을 기준으로 실손의료보험의 비례분담 방식이 변경되었습니다. 2016년 이전에 가입한 보험(2007년, 2013년 개인실손)은 이전 방식에 따라 비례분담을 계산하며, 2016년 이후에 가입한 보험(2019년 단체실손)은 변경된 방식에 따라 분담액을 산출합니다. 이에 따라, 동일한 의료비(300만원)를 청구할 경우, A(2007년), B(2013년)는 2016년 이전 방식, C(2019년)는 2016년 이후 방식을 적용받아 각각 다른 산식으로 보험금이 산정됩니다.  
■ 섹션 2️⃣  【검토 필요 사항】  
⚠️ 비례분담의 구체적인 산식(예: 가입금액 비율, 자기부담금 공제 순서, 보조기 포함 여부 등)이 컨텍스트에 명시되지 않아, 각 보험사별 실제 지급액을 정확히 계산할 수 없습니다.  
⚠️ 보조기 20만원이 보상 대상인지, 자기부담금 공제가 적용되는 시점(총 지출액 대비 vs. 보상 대상액 대비)이 명확하지 않아, 분담 계산의 기준액이 불확실합니다.  
⚠️ 2016년 이후 방식의 구체적 내용(예: 단체보험 우선 지급 여부, 비례비율 산정 기준 등)이 문서에 상세히 기재되지 않아, C(2019년 단체보험)의 분담 방식을 정확히 재현할 수 없습니다.  
■ 섹션 3️⃣  【추가 확인 사항】  
- 2016년 이전 및 이후 비례분담 방식의 구체적 산식(예: 수식 또는 표)이 포함된 별도 문서(예: 보험사 내부 지침, 심평원 고시 등)가 필요한가?  
- 보조기(20만원)가 실손의료보험의 보상 대상인지 여부(약관상 ‘의료비’ 정의에 포함되는지)  
- C(단체보험)가 단체실손임에도 불구하고 2016년 이후 방식을 적용받는 근거가 약관상 명시되었는지 확인 필요  
■ 섹션 4️⃣  【권장 조치】  
- 보험사에 2016년 이전/이후 비례분담 산식을 포함한 ‘실손의료보험 보험금 지급기준’ 공식 문서를 요청하여 정확한 계산을 수행할 것.  
- 보조기 비용이 보상 대상인지 여부를 약관의 ‘보상 범위’ 항목에서 재확인할 것.  
- A, B, C 각 보험의 자기부담금 공제 적용 순서(총 지출액에서 먼저 공제 후 분담 vs. 분담 후 공제)를 명확히 확인할 것.  
[출처: [상담사례집], 제2절 무보험자동차에 의한 상해, p.243]
[출처: 상담사례집, 제2절 무보험자동차에 의한 상해, p.243] [출처: 상담사례집, p.97] [출처: 약관, 제12관 재가입에 관한 사항 등 / 제2조(개인실손 전환에 관한 사항), p.125-127]</t>
        </is>
      </c>
      <c r="I51" s="11" t="str"/>
      <c r="J51" s="11" t="n">
        <v>1</v>
      </c>
      <c r="K51" s="11" t="str"/>
      <c r="L51" s="11" t="inlineStr">
        <is>
          <t>이전방식, 변경된 방식이라는 말만 있고, 그 방식이 무슨 방식인지에 대한 설명이 없음. 아마 DB의 한계인듯</t>
        </is>
      </c>
    </row>
    <row r="52" ht="303.6000061035156" customHeight="1">
      <c r="A52" s="11" t="n">
        <v>51</v>
      </c>
      <c r="B52" s="11" t="inlineStr">
        <is>
          <t>additional56</t>
        </is>
      </c>
      <c r="C52" s="11" t="n">
        <v>31</v>
      </c>
      <c r="D52" s="11" t="inlineStr">
        <is>
          <t>new_20260702_031</t>
        </is>
      </c>
      <c r="E52" s="11" t="inlineStr">
        <is>
          <t>다수보험 처리</t>
        </is>
      </c>
      <c r="F52" s="11" t="inlineStr">
        <is>
          <t>기존</t>
        </is>
      </c>
      <c r="G52" s="11" t="inlineStr">
        <is>
          <t>다수보험 비례분담액을 계산할 때 입원, 외래, 처방조제를 각각 구분해서 계산하나?</t>
        </is>
      </c>
      <c r="H52" s="11" t="inlineStr">
        <is>
          <t>■ 섹션 1️⃣  【확정 근거】  
다수보험 비례분담액을 계산할 때 입원, 외래, 처방조제를 각각 구분하여 계산합니다. 이는 [상담사례집] 제2절 무보험자동차에 의한 상해 p.245의 컨텍스트 1과 2에서 명시적으로 규정되어 있습니다. 또한, 약관 및 표준약관의 다수보험 처리 조항(컨텍스트 3~8)에서는 비례분담액 산출 방식을 설명하지만, 구체적인 구분 계산에 대한 언급은 없으며, 상담사례집의 규정이 실무 적용 기준으로 우선적으로 적용됩니다.
■ 섹션 2️⃣  【검토 필요 사항】  
⚠️ [약관] 및 [표준약관]에서는 입원·외래·처방조제의 구분 계산에 대한 언급이 없어, 상담사례집의 규정이 실무에서의 해석 기준인지 여부를 추가로 확인이 필요합니다. 다만, 상담사례집은 보험사 내부 실무 지침으로 간주되며, 약관과 충돌하지 않는 한 적용 가능합니다.
■ 섹션 3️⃣  【추가 확인 사항】  
해당 없음
■ 섹션 4️⃣  【권장 조치】  
입원, 외래, 처방조제는 각각 구분하여 비례분담액을 계산해야 하며, 이는 상담사례집의 명시적 규정에 근거합니다. 실무 적용 시 해당 규정을 준수하고, 약관과의 일관성 점검을 위해 법무팀 또는 심평원 지침과의 정합성도 병행 확인할 것을 권장합니다.
[출처: 상담사례집, 제2절 무보험자동차에 의한 상해, p.245]
[출처: 약관, 제9관 다수보험의 처리 등 / 제38조(다수보험의 처리), p.57] [출처: 표준약관, 제9관 다수보험의 처리 등 / 제33조(다수보험의 처리) ① 다수보험의 경우 각 계약의 보장대상의료비, p.347] [출처: 표준약관, 제9관 다수보험의 처리 등 / 제37조(다수보험의 처리) ① 다수보험의 경우 각 계약의 보장대상의료비, p.244]</t>
        </is>
      </c>
      <c r="I52" s="11" t="str"/>
      <c r="J52" s="11" t="n">
        <v>5</v>
      </c>
      <c r="K52" s="11" t="str"/>
      <c r="L52" s="11" t="str"/>
    </row>
    <row r="53" ht="198" customHeight="1">
      <c r="A53" s="11" t="n">
        <v>52</v>
      </c>
      <c r="B53" s="11" t="inlineStr">
        <is>
          <t>additional56</t>
        </is>
      </c>
      <c r="C53" s="11" t="n">
        <v>32</v>
      </c>
      <c r="D53" s="11" t="inlineStr">
        <is>
          <t>new_20260702_032</t>
        </is>
      </c>
      <c r="E53" s="11" t="inlineStr">
        <is>
          <t>다수보험 처리</t>
        </is>
      </c>
      <c r="F53" s="11" t="inlineStr">
        <is>
          <t>예외확인형</t>
        </is>
      </c>
      <c r="G53" s="11" t="inlineStr">
        <is>
          <t>여러 실손보험 중 한 보험사에 대한 보험금 청구를 포기하면 다른 보험사의 지급보험금 결정에도 영향이 있는지 설명해줘.</t>
        </is>
      </c>
      <c r="H53" s="11" t="inlineStr">
        <is>
          <t>여러 실손보험 중 한 보험사에 대한 보험금 청구를 포기하더라도, 다른 보험사의 지급보험금 결정에는 영향이 없습니다.
이것은 실손의료보험 계약에서 ‘보험금의 분담’ 조항에 명시되어 있으며, 피보험자가 다른 계약에 대해 보험금 청구를 포기한 경우에도, 각 보험사는 ‘다른 계약이 없는 것으로 간주’하여 자체 보상책임액을 산정하고, 그에 따라 보험금을 지급합니다. 즉, 청구 포기는 다른 보험사의 지급 결정에 영향을 주지 않으며, 각 보험사는 독립적으로 보상책임을 평가합니다.
이 원칙은 [자사_SOL건강]과 [자사_SOL운전자]의 제5조(보험금의 분담) 제2항에 명확히 기재되어 있으며, 화재보험 표준약관에서도 동일한 원칙이 적용됩니다.
[출처: 자사_SOL건강, 제7관 분쟁조정 등 / 제5조(보험금의 분담), p.336]  
[출처: 자사_SOL운전자, 제7관 분쟁조정 등 / 제5조(보험금의 분담), p.146]  
[출처: 상담사례집, 제2절 무보험자동차에 의한 상해, p.301]
[출처: 상담사례집, 제2절 무보험자동차에 의한 상해, p.305]</t>
        </is>
      </c>
      <c r="I53" s="11" t="str"/>
      <c r="J53" s="11" t="n">
        <v>5</v>
      </c>
      <c r="K53" s="11" t="str"/>
      <c r="L53" s="11" t="str"/>
    </row>
    <row r="54" ht="501.6000061035156" customHeight="1">
      <c r="A54" s="11" t="n">
        <v>53</v>
      </c>
      <c r="B54" s="11" t="inlineStr">
        <is>
          <t>additional56</t>
        </is>
      </c>
      <c r="C54" s="11" t="n">
        <v>33</v>
      </c>
      <c r="D54" s="11" t="inlineStr">
        <is>
          <t>new_20260702_033</t>
        </is>
      </c>
      <c r="E54" s="11" t="inlineStr">
        <is>
          <t>다수보험 처리</t>
        </is>
      </c>
      <c r="F54" s="11" t="inlineStr">
        <is>
          <t>근거요구형</t>
        </is>
      </c>
      <c r="G54" s="11" t="inlineStr">
        <is>
          <t>단체실손의료보험과 개인실손의료보험이 중복될 때 개인실손 중지제도를 활용할 수 있는 요건과 취지를 설명해줘.</t>
        </is>
      </c>
      <c r="H54" s="11" t="inlineStr">
        <is>
          <t>■ 섹션 1️⃣  【확정 근거】  
단체실손의료보험과 개인실손의료보험이 중복될 때 개인실손 중지제도를 활용할 수 있는 요건은 다음과 같습니다:  
1. 개인실손의 계약자가 해당 개인실손을 **최초 보장개시일로부터 1년 이상 유지 중**인 경우  
2. 개인실손의 피보험자가 **단체실손의료보험에 중복가입되어 단체실손의 피보험자**인 경우  
이 두 요건이 모두 충족될 때, 계약자는 개인실손의 보장종목(예: 상해입원, 질병입원 등)에 대해 보험료 납입 및 보장을 중지(계약중지)할 수 있습니다. 중지가 승낙되면, 중지된 보장종목에 대해서는 보험금 지급이 중단되고 보험료 납입도 면제됩니다.  
이 제도의 취지는 **보험금 중복 수령 방지**와 **보험료의 과다 납부 방지**에 있습니다. 단체실손과 개인실손이 동일한 의료비를 보장하는 경우, 두 보험 모두에서 동일한 비용을 청구하면 보험금이 중복 지급될 수 있으므로, 중지제도를 통해 중복 보장 부분을 조정함으로써 보험의 공정성과 효율성을 확보합니다. 또한, 중지 후 단체실손이 종료되면 1개월 이내에 중지된 개인실손을 무심사로 재개할 수 있어, 피보험자의 보장 연속성을 보장합니다.  
[출처: 약관, 제2조(계약중지에 관한 사항), p.120-121]  
[출처: 상담사례집, p.95]  
[출처: 상담사례집, p.96]  
■ 섹션 2️⃣  【검토 필요 사항】  
⚠️ 컨텍스트 3과 4에서 “단체실손 가입 중 개인실손 납입중지”에 대해 “상해입원, 질병입원 등” 중복 보장종목을 예시로 들었으나, 구체적인 보장종목 목록이 명시되지 않아, 중지 대상이 되는 모든 보장종목의 범위(예: 외래, 약제, 진단검사 등)에 대한 명확한 정의가 필요합니다.  
⚠️ 컨텍스트 5와 6에서 “재개시점 기준으로 최초 보장개시일로부터 보장내용 변경주기를 초과한 경우”는 재개 시 신상품으로 전환 가능하다고 언급되었으나, “보장내용 변경주기(재가입주기)”의 정의(예: 2년, 3년 등)가 명시되지 않아 재개 조건의 해석에 불확실성이 있습니다.  
■ 섹션 3️⃣  【추가 확인 사항】  
해당 없음  
■ 섹션 4️⃣  【권장 조치】  
해당 없음
[출처: 약관, 제12관 재가입에 관한 사항 등 / 제2조(계약중지에 관한 사항), p.120-121] [출처: 약관, 제12관 재가입에 관한 사항 등 ............................................................................................. 60 / 제55조(예금보험에 의한 지급보장) ................................................................................................................ 61 / 별표 및 참고의 '약관에서 인용된 법∙규정'을 활용하시면 약관에서 인용한 법률 조항 및 p.131, p.8-31]</t>
        </is>
      </c>
      <c r="I54" s="11" t="str"/>
      <c r="J54" s="11" t="n">
        <v>5</v>
      </c>
      <c r="K54" s="11" t="str"/>
      <c r="L54" s="11" t="str"/>
    </row>
    <row r="55" ht="475.2000122070312" customHeight="1">
      <c r="A55" s="11" t="n">
        <v>54</v>
      </c>
      <c r="B55" s="11" t="inlineStr">
        <is>
          <t>additional56</t>
        </is>
      </c>
      <c r="C55" s="11" t="n">
        <v>34</v>
      </c>
      <c r="D55" s="11" t="inlineStr">
        <is>
          <t>new_20260702_034</t>
        </is>
      </c>
      <c r="E55" s="11" t="inlineStr">
        <is>
          <t>다수보험 처리</t>
        </is>
      </c>
      <c r="F55" s="11" t="inlineStr">
        <is>
          <t>상황형</t>
        </is>
      </c>
      <c r="G55" s="11" t="inlineStr">
        <is>
          <t>직장에서 단체실손에 가입되어 있어 개인실손을 중지하려는 고객이 퇴직 후 보장 공백을 걱정한다. 개인실손 재개 또는 연계제도 관점에서 어떻게 안내해야 하나?</t>
        </is>
      </c>
      <c r="H55" s="11" t="inlineStr">
        <is>
          <t>■ 섹션 1️⃣  【확정 근거】  
퇴직 후 단체실손의료보험 보장이 종료되는 경우, 기존에 중지된 개인실손의료보험을 재개하면 보장 공백을 방지할 수 있습니다. 단체실손 종료 후 **1개월 이내**에 개인실손을 재개 신청하는 경우, 보험사는 심사 없이 재개를 승낙합니다. 이때 재개 가능한 상품은 ‘중지 당시 가입했던 종전 상품’ 또는 ‘재개 시점에 보험사가 판매 중인 현재 상품’ 중 선택할 수 있습니다. 다만, 2013년 4월 이후 가입한 계약은 보장내용 변경주기(5년 또는 15년)가 경과한 경우, 재개 시 현재 판매 중인 상품으로만 가능합니다. 또한, 단체실손의 보장종목 변경은 보장공백기간으로 간주되지 않으며, 보장공백기간은 보험료 미납, 해지, 재가입 지연 등으로 인해 보장을 받지 못한 기간만 포함됩니다.  
■ 섹션 2️⃣  【검토 필요 사항】  
⚠️ 컨텍스트에서 “2013년 4월 이후 가입한 경우”라는 표현은 구체적인 법적 기준(예: 보험사 지침, 심평원 고시)과의 연계 여부가 명시되지 않아, 고객의 가입일을 정확히 확인해야 합니다.  
⚠️ “재개 시점에 보험회사가 판매 중인 상품”이 구체적으로 어떤 상품을 의미하는지(예: 동일 보장내용, 신상품, 보장 강화/약화 여부)는 약관에 명시되지 않아, 보험사 내부 상품 리스트 확인이 필요합니다.  
⚠️ “계약재개되는 개인실손이 중지된 실손보다 보장이 강화되는 경우 계약재개 승낙이 거절될 수 있다”는 내용은 약관에 명시되었으나, 실제 거절 사례나 기준이 명확히 정의되지 않아 사전 심사 여부를 고객에게 안내할 필요가 있습니다.  
■ 섹션 3️⃣  【추가 확인 사항】  
해당 고객이 중지한 개인실손의 가입일이 2013년 4월 이전인지 이후인지 확인이 필요합니다.  
또한, 단체실손 종료일과 개인실손 재개 청약일 사이의 기간이 정확히 1개월 이내인지 확인해야 합니다.  
보험사가 제공하는 재개용 상품 목록과 종전 상품의 보장내용 비교 자료를 고객에게 제공할 수 있는지 확인이 필요합니다.  
■ 섹션 4️⃣  【권장 조치】  
1. 고객에게 단체실손 종료일을 정확히 확인하도록 안내하고, 그 후 **1개월 이내**에 개인실손 재개 신청을 권장합니다.  
2. 재개 시 종전 상품과 현재 상품 중 선택 가능함을 설명하고, 보장내용 차이(예: 입원일당, 수술비 한도, 특약 포함 여부)를 비교하여 고객의 필요에 맞는 상품을 선택하도록 도와줍니다.  
3. 2013년 4월 이후 가입한 경우, 재개 시 현재 판매 상품만 가능하므로, 보장 강화 여부를 사전에 확인하고, 필요 시 추가 특약 가입을 제안합니다.  
4. 재개 승낙이 거절될 수 있는 경우(보장 강화 시)에 대비해, 재개 신청 전 보험사에 사전 문의를 권장합니다.  
[출처: 상담사례집, p.95]
[출처: 약관, 제12관 재가입에 관한 사항 등 / 제2조(계약재개에 관한 사항), p.122-124] [출처: 상담사례집, p.94] [출처: 약관, 제12관 재가입에 관한 사항 등 / 제2조(계약중지에 관한 사항), p.120-121]</t>
        </is>
      </c>
      <c r="I55" s="11" t="str"/>
      <c r="J55" s="11" t="n">
        <v>5</v>
      </c>
      <c r="K55" s="11" t="str"/>
      <c r="L55" s="11" t="str"/>
    </row>
    <row r="56" ht="198" customHeight="1">
      <c r="A56" s="11" t="n">
        <v>55</v>
      </c>
      <c r="B56" s="11" t="inlineStr">
        <is>
          <t>additional56</t>
        </is>
      </c>
      <c r="C56" s="11" t="n">
        <v>35</v>
      </c>
      <c r="D56" s="11" t="inlineStr">
        <is>
          <t>new_20260702_035</t>
        </is>
      </c>
      <c r="E56" s="11" t="inlineStr">
        <is>
          <t>다수보험 처리</t>
        </is>
      </c>
      <c r="F56" s="11" t="inlineStr">
        <is>
          <t>근거요구형</t>
        </is>
      </c>
      <c r="G56" s="11" t="inlineStr">
        <is>
          <t>2016년 이후 실손의료보험 표준약관의 다수보험 처리 산식에서 피보험자 부담 공제금액 중 최소액을 차감하는 구조를 설명해줘.</t>
        </is>
      </c>
      <c r="H56" s="11" t="inlineStr">
        <is>
          <t>2016년 이후 실손의료보험 표준약관에서 다수보험의 처리 산식은, 피보험자 부담 공제금액 중 최소액을 차감함으로써 보험금 지급의 중복보상 방지를 목적으로 합니다. 구체적으로, 각 계약의 보장대상의료비 중 최고액에서 모든 계약 중 가장 낮은 피보험자 부담 공제금액(즉, 최소액)을 차감한 금액이, 보험금 지급의 총 한도로 작용합니다. 이 한도를 초과하는 보장책임액 합계가 있을 경우, 각 계약은 자신의 보장책임액이 전체 보장책임액 합계에서 차지하는 비율에 따라 비례분담하여 보상합니다.
이 구조는 피보험자가 다수의 실손의료보험에 가입했더라도, 실제 부담한 의료비(공제금액을 제외한 금액) 이상의 보상은 받지 못하도록 하여, 보험금의 과다지급을 방지하는 것을 목적으로 합니다. 즉, 공제금액 중 최소액을 차감함으로써, 가장 부담이 적은 계약의 공제기준을 기준으로 전체 보상 한도를 설정하고, 이를 초과하는 금액은 비례분담 방식으로 분배됩니다.
[출처: 표준약관, 제37조(다수보험의 처리), p.244]
[출처: 상담사례집, 제2절 무보험자동차에 의한 상해, p.245] [출처: 약관, 제9관 다수보험의 처리 등 / 제38조(다수보험의 처리), p.57] [출처: 표준약관, 제9관 다수보험의 처리 등 / 제37조(다수보험의 처리) ① 다수보험의 경우 각 계약의 보장대상의료비, p.244]</t>
        </is>
      </c>
      <c r="I56" s="11" t="str"/>
      <c r="J56" s="11" t="n">
        <v>5</v>
      </c>
      <c r="K56" s="11" t="str"/>
      <c r="L56" s="11" t="str"/>
    </row>
    <row r="57" ht="343.2000122070312" customHeight="1">
      <c r="A57" s="11" t="n">
        <v>56</v>
      </c>
      <c r="B57" s="11" t="inlineStr">
        <is>
          <t>additional56</t>
        </is>
      </c>
      <c r="C57" s="11" t="n">
        <v>36</v>
      </c>
      <c r="D57" s="11" t="inlineStr">
        <is>
          <t>new_20260702_036</t>
        </is>
      </c>
      <c r="E57" s="11" t="inlineStr">
        <is>
          <t>해지·해약환급금</t>
        </is>
      </c>
      <c r="F57" s="11" t="inlineStr">
        <is>
          <t>근거요구형</t>
        </is>
      </c>
      <c r="G57" s="11" t="inlineStr">
        <is>
          <t>계약자가 보험가입금액을 감액하면 감액된 부분은 해지된 것으로 보는지, 해약환급금이 있으면 어떻게 지급되는지 설명해줘.</t>
        </is>
      </c>
      <c r="H57" s="11" t="inlineStr">
        <is>
          <t>■ 섹션 1️⃣  【확정 근거】  
계약자가 보험가입금액을 감액할 경우, 감액된 부분은 계약이 해지된 것으로 봅니다. 이때 회사가 지급하여야 할 해약환급금이 존재한다면, 해당 해약환급금을 계약자에게 지급합니다. 다만, 감액 시 해약환급금이 없거나, 최초 가입 시 안내된 해약환급금보다 적어질 수 있습니다. 이 내용은 자사_SOL운전자 및 자사_SOL건강 약관 제21조 제4항에서 명시되어 있으며, [약관] 제22조 제3항에서도 동일한 내용을 확인할 수 있습니다.
■ 섹션 2️⃣  【검토 필요 사항】  
⚠️ 컨텍스트 3과 4(약관)에서는 “해지환급금”이라는 용어를 사용하고, 컨텍스트 5~8(자사_SOL운전자/건강)에서는 “해약환급금”이라는 용어를 사용합니다. 이는 동일한 개념을 가리키는지, 또는 문서 간 용어 차이인지 확인이 필요합니다. 보정본(v2) 기준으로는 “해약환급금”이 표준 용어로 사용되며, 원본(v1) 대응 컨텍스트에서도 동일한 맥락으로 해석 가능하나, 용어 일관성에 대한 내부 정리가 필요합니다.
■ 섹션 3️⃣  【추가 확인 사항】  
해약환급금의 산정 기준이나 감액 시 감소 가능성을 명시한 ‘최초 가입 시 안내한 해약환급금’의 정의에 대한 구체적 산출 방식은 제공된 컨텍스트에 포함되어 있지 않습니다. 추가로 보험계약서 또는 사업방법서에서의 산정 기준 확인이 필요합니다.
■ 섹션 4️⃣  【권장 조치】  
계약자가 보험가입금액을 감액할 경우, 반드시 해약환급금의 발생 여부 및 금액을 사전에 안내하고, 서면 또는 전자문서로 동의를 받는 절차를 권장합니다. 또한, 용어 일관성(해지환급금 vs 해약환급금)에 대한 내부 문서 정비를 요청드립니다.
[출처: 약관, 제22조(계약내용의 변경 등), p.50 / 자사_SOL운전자, 제21조(계약내용의 변경 등), p.55 / 자사_SOL건강, 제21조(계약내용의 변경 등), p.57]
[출처: 상담사례집, p.133] [출처: 약관, 제5관 보험계약의 성립과 유지 / 제22조(계약내용의 변경 등), p.50] [출처: 자사_SOL운전자, 제4관 보험계약의 성립과 유지 / 제21조(계약내용의 변경 등), p.54-55]</t>
        </is>
      </c>
      <c r="I57" s="11" t="str"/>
      <c r="J57" s="11" t="n">
        <v>5</v>
      </c>
      <c r="K57" s="11" t="str"/>
      <c r="L57" s="11" t="str"/>
    </row>
    <row r="58" ht="396" customHeight="1">
      <c r="A58" s="11" t="n">
        <v>57</v>
      </c>
      <c r="B58" s="11" t="inlineStr">
        <is>
          <t>additional56</t>
        </is>
      </c>
      <c r="C58" s="11" t="n">
        <v>37</v>
      </c>
      <c r="D58" s="11" t="inlineStr">
        <is>
          <t>new_20260702_037</t>
        </is>
      </c>
      <c r="E58" s="11" t="inlineStr">
        <is>
          <t>해지·해약환급금</t>
        </is>
      </c>
      <c r="F58" s="11" t="inlineStr">
        <is>
          <t>근거요구형</t>
        </is>
      </c>
      <c r="G58" s="11" t="inlineStr">
        <is>
          <t>계약자, 피보험자 또는 보험수익자가 보험금을 받을 목적으로 고의로 보험금 지급사유를 발생시킨 경우 회사가 중대사유로 계약을 해지할 수 있는지 설명해줘.</t>
        </is>
      </c>
      <c r="H58" s="11" t="inlineStr">
        <is>
          <t>■ 섹션 1️⃣  【확정 근거】  
계약자, 피보험자 또는 보험수익자가 보험금을 지급받을 목적으로 고의로 보험금 지급사유를 발생시킨 경우, 회사는 그 사실을 안 날부터 1개월 이내에 계약을 해지할 수 있습니다. 이는 자사_SOL건강, 자사_SOL운전자, 표준약관, 일반약관 등 모든 제공된 약관 문서에서 동일하게 명시되어 있으며, 보험금 지급사유의 고의적 발생은 중대사유로 간주되어 계약 해지의 정당한 근거가 됩니다.  
■ 섹션 2️⃣  【검토 필요 사항】  
⚠️ 일부 문서(예: [약관] 제8관)에서는 “고의로 상해 또는 질병을 발생시킨 경우”로 구체화되어 있으며, 이는 “보험금 지급사유”보다 좁은 범위로 해석될 수 있습니다. 그러나 자사_SOL건강/운전자 및 표준약관에서는 “보험금 지급사유”라는 광범위한 표현을 사용하고 있어, 상해·질병 외에도 다른 보험금 지급사유(예: 진단서 위조에 따른 수술 요청 등)가 포함될 수 있음을 시사합니다. 이 차이가 해석상 영향을 미칠 수 있으므로, 구체적 사례에 따른 적용 범위를 추가 검토 필요합니다.  
■ 섹션 3️⃣  【추가 확인 사항】  
해당 조항이 적용되는 경우, 회사가 계약을 해지하려면 “그 사실을 안 날부터 1개월 이내”에 해지해야 하며, 이 기간 경과 시 해지권 소멸 여부에 대한 사례 또는 내부 지침이 필요한 경우가 있을 수 있습니다.  
■ 섹션 4️⃣  【권장 조치】  
보험금 지급사유의 고의적 발생이 확인된 경우, 즉시 증거 확보 및 해지 의사표시를 1개월 이내에 완료해야 하며, 해지 통지 시 “실제 발생한 보험금 지급사유에 대해서는 보험금을 지급한다”는 점을 명시하여 분쟁을 예방해야 합니다.  
[출처: 자사_SOL건강, 제31조(중대사유로 인한 해지), p.62]  
[출처: 자사_SOL운전자, 제31조(중대사유로 인한 해지), p.59-60]  
[출처: 표준약관, 제30조(중대사유로 인한 해지), p.21]  
[출처: 약관, 제33조(중대사유로 인한 해지), p.56]
[출처: 자사_SOL건강, 제6관 계약의 해지 및 해약환급금 등 / 제31조(중대사유로 인한 해지), p.62] [출처: 자사_SOL운전자, 제6관 계약의 해지 및 해약환급금 등 / 제31조(중대사유로 인한 해지), p.59-60] [출처: 표준약관, 제 6 관 계약의 해지 및 해약환급금 등 / 제30조(중대사유로 인한 해지) ① 회사는 아래와 같은 사실이 있을 경우, p.21]</t>
        </is>
      </c>
      <c r="I58" s="11" t="str"/>
      <c r="J58" s="11" t="n">
        <v>5</v>
      </c>
      <c r="K58" s="11" t="str"/>
      <c r="L58" s="11" t="str"/>
    </row>
    <row r="59" ht="250.8000030517578" customHeight="1">
      <c r="A59" s="11" t="n">
        <v>58</v>
      </c>
      <c r="B59" s="11" t="inlineStr">
        <is>
          <t>additional56</t>
        </is>
      </c>
      <c r="C59" s="11" t="n">
        <v>38</v>
      </c>
      <c r="D59" s="11" t="inlineStr">
        <is>
          <t>new_20260702_038</t>
        </is>
      </c>
      <c r="E59" s="11" t="inlineStr">
        <is>
          <t>해지·해약환급금</t>
        </is>
      </c>
      <c r="F59" s="11" t="inlineStr">
        <is>
          <t>패러프레이즈</t>
        </is>
      </c>
      <c r="G59" s="11" t="inlineStr">
        <is>
          <t>1년 만기 순수보장성 실손의료보험에서 중도 해지 시 해약환급금이 없거나 납입보험료보다 적을 수 있는 이유를 핵심만 정리해줘.</t>
        </is>
      </c>
      <c r="H59" s="11" t="inlineStr">
        <is>
          <t>1년 만기 순수보장성 실손의료보험에서 중도 해지 시 해약환급금이 없거나 납입보험료보다 적을 수 있는 이유는 다음과 같습니다:
- 이 보험은 **순수보장성 보험**으로, 저축 또는 적립 기능이 없으며, 납입한 보험료의 대부분은 **위험보장**(사고·질병에 따른 보험금 지급)과 **보험사 운영비용**(모집수수료, 계약관리비용 등)에 사용됩니다.  
- 따라서 중도 해지 시 **적립부분 해약환급금이 존재하지 않으며**, 납입한 보험료 전액이 보장 및 운영비용으로 소진된 상태이므로 해약환급금이 **0원이거나 납입액보다 적게 지급**됩니다.  
- 특히, 1년 만기 상품은 **갱신형 구조**로 설계되어 있어, 매년 보험료가 재산정되며, 중도 해지 시 적립금 축적 없이 단기 보장만 제공됩니다.
[출처: 자사_SOL건강, 제7관 분쟁조정 등, p.23]
[출처: 자사_SOL건강, 제7관 분쟁조정 등 ············································································································································· 63 / 제8조(보험금의 지급절차) p.45 / 별표 및 참고의 '특별약관 색인'을 활용하시면 본인이 실제 가입한 특별약관을 쉽게 찾을 수, p.13-44] [출처: 자사_SOL운전자, 제7관 분쟁조정 등 ············································································································································· 60 / 제8조(보험금의 지급절차) p.44 / 별표 및 참고의 '특별약관 색인'을 활용하시면 본인이 실제 가입한 특별약관을 쉽게 찾을 수, p.9-41]</t>
        </is>
      </c>
      <c r="I59" s="11" t="str"/>
      <c r="J59" s="11" t="n">
        <v>5</v>
      </c>
      <c r="K59" s="11" t="str"/>
      <c r="L59" s="11" t="str"/>
    </row>
    <row r="60" ht="343.2000122070312" customHeight="1">
      <c r="A60" s="11" t="n">
        <v>59</v>
      </c>
      <c r="B60" s="11" t="inlineStr">
        <is>
          <t>additional56</t>
        </is>
      </c>
      <c r="C60" s="11" t="n">
        <v>39</v>
      </c>
      <c r="D60" s="11" t="inlineStr">
        <is>
          <t>new_20260702_039</t>
        </is>
      </c>
      <c r="E60" s="11" t="inlineStr">
        <is>
          <t>갱신·재가입</t>
        </is>
      </c>
      <c r="F60" s="11" t="inlineStr">
        <is>
          <t>기한·한도확인형</t>
        </is>
      </c>
      <c r="G60" s="11" t="inlineStr">
        <is>
          <t>실손의료보험 재가입이 가능한 최고 나이와 보장받을 수 있는 최대 기간을 보험나이 기준으로 알려줘.</t>
        </is>
      </c>
      <c r="H60" s="11" t="inlineStr">
        <is>
          <t>■ 섹션 1️⃣  【확정 근거】  
실손의료보험의 재가입 가능 최고 나이에 대한 명시적 규정은 제공된 컨텍스트에 없습니다.  
재가입 요건으로는 ‘재가입일에 있어서 피보험자의 나이가 회사가 최초가입 당시 정한 재가입 나이의 범위 내일 것’(컨텍스트 5, 6, 실손의료보험 표준약관 제23조①1)이라는 조건이 언급되나, 구체적인 최고 나이(예: 75세, 80세 등)는 기재되어 있지 않습니다.  
또한, 보장받을 수 있는 최대 기간에 대해서도 재가입주기(5년 또는 15년)는 언급되나, ‘최대 보장기간’ 또는 ‘최대 보험나이 기준 보장 기간’에 대한 명시적 규정은 없습니다.  
■ 섹션 2️⃣  【검토 필요 사항】  
⚠️ 컨텍스트 5, 6의 실손의료보험 표준약관 제23조①1은 “회사가 최초가입 당시 정한 재가입 나이의 범위”를 요건으로 하며, 이는 보험사별로 상이할 수 있음을 시사합니다. 그러나 해당 범위의 구체적 수치(예: 80세 이하)는 컨텍스트에 없습니다.  
⚠️ ‘최대 보장가능 보험나이’는 재개 시 비교 요건으로 언급되나(컨텍스트 3, 4, 7, 8), 이 값이 재가입 가능 최고 나이와 동일한지, 또는 보장 기간과 어떻게 연계되는지는 명시되지 않았습니다.  
■ 섹션 3️⃣  【추가 확인 사항】  
해당 없음  
■ 섹션 4️⃣  【권장 조치】  
보험사별로 정한 재가입 가능 최고 나이 및 최대 보장기간은 각 보험사의 상품설계에 따라 달라지므로, 계약자에게는 가입 중인 상품의 약관 또는 보험사 고객센터를 통해 ‘최초가입 시 정한 재가입 나이 범위’와 ‘최대 보장가능 보험나이’를 확인하도록 안내해야 합니다.  
[출처: 약관, 제23조(재가입), p.109]
[출처: 상담사례집, 제2절 무보험자동차에 의한 상해, p.268] [출처: 약관, 제12관 재가입에 관한 사항 등 / 제3조(계약재개에 관한 사항), p.129-131] [출처: 상담사례집, p.109]</t>
        </is>
      </c>
      <c r="I60" s="11" t="str"/>
      <c r="J60" s="11" t="n">
        <v>5</v>
      </c>
      <c r="K60" s="11" t="str"/>
      <c r="L60" s="11" t="str"/>
    </row>
    <row r="61" ht="277.2000122070312" customHeight="1">
      <c r="A61" s="11" t="n">
        <v>60</v>
      </c>
      <c r="B61" s="11" t="inlineStr">
        <is>
          <t>additional56</t>
        </is>
      </c>
      <c r="C61" s="11" t="n">
        <v>40</v>
      </c>
      <c r="D61" s="11" t="inlineStr">
        <is>
          <t>new_20260702_040</t>
        </is>
      </c>
      <c r="E61" s="11" t="inlineStr">
        <is>
          <t>갱신·재가입</t>
        </is>
      </c>
      <c r="F61" s="11" t="inlineStr">
        <is>
          <t>근거요구형</t>
        </is>
      </c>
      <c r="G61" s="11" t="inlineStr">
        <is>
          <t>재가입 시점에 회사가 판매하는 실손의료보험 상품으로 가입하는 경우 회사가 재가입을 거절할 수 있는지 설명해줘.</t>
        </is>
      </c>
      <c r="H61" s="11" t="inlineStr">
        <is>
          <t>■ 섹션 1️⃣  【확정 근거】  
재가입 시점에 회사가 판매하는 실손의료보험 상품으로 가입하는 경우, 회사는 이를 거절할 수 없습니다. 이는 실손의료보험 표준약관 제23조(재가입) 제2항에 명시되어 있으며, 자동갱신이 끝난 후 계약자가 재가입을 원할 경우, 계약자는 회사가 현재 판매하는 실손의료보험 상품으로 가입할 수 있고, 회사는 그 가입을 거절할 수 없는 의무를 지닙니다. 이 규정은 2021년 7월 1일 신설되어 현재 유효한 표준약관에 포함되어 있습니다.
■ 섹션 2️⃣  【검토 필요 사항】  
⚠️ 컨텍스트 3 및 4(상담사례집)에서는 “회사는 이를 거절할 수 단계 없습니다.”라는 문장이 비정상적으로 끊겨 있어 문맥이 불완전합니다. 이는 OCR 오류로 추정되며, 보정본(v2)인 컨텍스트 5~8에서는 명확히 “거절할 수 없습니다.”로 표기되어 있어, 보정본을 우선 적용합니다.  
■ 섹션 3️⃣  【추가 확인 사항】  
해당 없음  
■ 섹션 4️⃣  【권장 조치】  
해당 없음  
[출처: 표준약관, 제23조(재가입), p.233-234]
[출처: 약관, 제12관 재가입에 관한 사항 등 / 제53조(계약의 재가입에 관한 사항), p.62] [출처: 상담사례집, p.109] [출처: 표준약관, 제6관 보험계약의 성립과 유지 / 제23조(재가입) ① 계약이 다음 각 호의 조건을 충족하고 계약자가 제4, p.233-234]</t>
        </is>
      </c>
      <c r="I61" s="11" t="str"/>
      <c r="J61" s="11" t="n">
        <v>5</v>
      </c>
      <c r="K61" s="11" t="str"/>
      <c r="L61" s="11" t="str"/>
    </row>
    <row r="62" ht="369.6000061035156" customHeight="1">
      <c r="A62" s="11" t="n">
        <v>61</v>
      </c>
      <c r="B62" s="11" t="inlineStr">
        <is>
          <t>additional56</t>
        </is>
      </c>
      <c r="C62" s="11" t="n">
        <v>41</v>
      </c>
      <c r="D62" s="11" t="inlineStr">
        <is>
          <t>new_20260702_041</t>
        </is>
      </c>
      <c r="E62" s="11" t="inlineStr">
        <is>
          <t>갱신·재가입</t>
        </is>
      </c>
      <c r="F62" s="11" t="inlineStr">
        <is>
          <t>상황형</t>
        </is>
      </c>
      <c r="G62" s="11" t="inlineStr">
        <is>
          <t>재가입 안내를 받은 계약자가 재가입 의사를 표시하지 않거나 재가입을 원하지 않는다고 답했다. 계약은 어떻게 처리되는지 설명해줘.</t>
        </is>
      </c>
      <c r="H62" s="11" t="inlineStr">
        <is>
          <t>■ 섹션 1️⃣  【확정 근거】  
재가입 안내를 받은 계약자가 재가입 의사를 표시하지 않거나 재가입을 원하지 않는다고 답한 경우, 계약은 해당 시점(재가입 의사가 확인되지 않은 시점)으로부터 해지됩니다. 이는 재가입 의사가 확인되지 않는 경우, 연장일이 종료되는 시점으로부터 계약이 해지된다는 규정에 명시되어 있습니다. 또한, 계약자가 재가입을 원하지 않는 경우에도 해당 시점(재가입 의사 불표시 또는 거부 시점)으로부터 계약은 해지됩니다.
■ 섹션 2️⃣  【검토 필요 사항】  
⚠️ 컨텍스트 3과 4의 제7항은 “보험계약의 연장일은 회사가 계약자의 재가입의사를 확인한 날까지로 합니다”라고 하며, 보험기간 종료일로부터 1년 기한이 명시되지 않았습니다. 반면, 컨텍스트 1, 2, 5, 6의 제7항은 “보험기간이 종료된 날로부터 1년 중 빠른 날까지”라는 기한을 포함하고 있습니다. 이는 약관 버전(표준약관 vs 일반약관) 간 차이로 보이며, 재가입 의사 불표시 시 해지 시점에 영향을 미칠 수 있습니다.  
→ **검토 필요**: 계약자가 재가입 의사를 표시하지 않은 경우, 연장일 종료 시점이 “재가입 의사 확인 시점”인지, 아니면 “보험기간 종료일로부터 1년”인지에 따라 해지 시점이 달라질 수 있으므로, 적용되는 약관 버전(표준약관/일반약관)을 정확히 확인해야 합니다.
■ 섹션 3️⃣  【추가 확인 사항】  
해당 없음
■ 섹션 4️⃣  【권장 조치】  
계약자가 재가입 의사를 표시하지 않거나 재가입을 원하지 않는다고 명확히 밝힌 경우, 회사는 해당 시점을 기준으로 계약을 해지해야 합니다. 이때, 해지 시점은 재가입 의사 불표시가 확인된 날로 간주하며, 이에 따라 해약환급금 지급 여부는 제35조(해약환급금)에 따라 판단되어야 합니다.  
→ **권장**: 계약자에게 해지 사실을 서면으로 통보하고, 해약환급금 지급 절차를 안내해야 합니다.
[출처: 약관, 제12관 재가입에 관한 사항 등 / 제53조(계약의 재가입에 관한 사항), p.62]
[출처: 표준약관, 제6관 보험계약의 성립과 유지 / 제23조(재가입) ① 계약이 다음 각 호의 조건을 충족하고 계약자가 제4, p.233-234] [출처: 표준약관, 제6관 보험계약의 성립과 유지 / 제23조(재가입) ① 계약이 다음 각 호의 조건을 충족하고 계약자가 제4, p.338-340]</t>
        </is>
      </c>
      <c r="I62" s="11" t="str"/>
      <c r="J62" s="11" t="n">
        <v>5</v>
      </c>
      <c r="K62" s="11" t="str"/>
      <c r="L62" s="11" t="str"/>
    </row>
    <row r="63" ht="488.3999938964844" customHeight="1">
      <c r="A63" s="11" t="n">
        <v>62</v>
      </c>
      <c r="B63" s="11" t="inlineStr">
        <is>
          <t>additional56</t>
        </is>
      </c>
      <c r="C63" s="11" t="n">
        <v>42</v>
      </c>
      <c r="D63" s="11" t="inlineStr">
        <is>
          <t>new_20260702_042</t>
        </is>
      </c>
      <c r="E63" s="11" t="inlineStr">
        <is>
          <t>갱신·재가입</t>
        </is>
      </c>
      <c r="F63" s="11" t="inlineStr">
        <is>
          <t>근거요구형</t>
        </is>
      </c>
      <c r="G63" s="11" t="inlineStr">
        <is>
          <t>갱신계약의 제1회 보험료를 납입하지 않은 경우 납입최고와 계약 해제 절차가 어떻게 적용되는지 약관 기준으로 설명해줘.</t>
        </is>
      </c>
      <c r="H63" s="11" t="inlineStr">
        <is>
          <t>■ 섹션 1️⃣  【확정 근거】  
갱신계약의 제1회 보험료를 납입기일까지 납입하지 않은 경우, 보험사는 보통약관 제27조(또는 제28조, 표준약관 기준)에 따라 납입최고(독촉)를 수행합니다. 납입최고기간 내에 보험료가 납입되지 않으면, 납입최고기간이 끝나는 날의 다음날 갱신계약이 해제됩니다. 이때, 납입최고기간 내에 발생한 사고에 대해서는 보험금이 지급되며, 계약자는 즉시 갱신계약 보험료를 납입해야 합니다. 만약 납입하지 않으면, 지급할 보험금에서 해당 보험료를 차감할 수 있습니다.  
이 절차는 자사_SOL건강 약관 제3조와 표준약관 제28조(제26조)의 내용과 일치하며, 갱신계약의 제1회 보험료에 대해서도 연체 시 납입최고 및 계약 해제 절차가 동일하게 적용됩니다.  
■ 섹션 2️⃣  【검토 필요 사항】  
⚠️ 자사_SOL건강 약관에서는 “보통약관 제27조”를 인용하고, 표준약관에서는 “제28조”를 인용하고 있으나, 두 조항의 내용은 동일하게 보험료 연체 시 납입최고 및 해제 절차를 규정하고 있습니다. 다만, 자사_SOL건강 약관에서 “보통약관 제27조”가 정확히 어떤 조항인지(예: 표준약관 제28조와 동일한지)에 대한 명시적 대응이 부족하므로, 내부 약관 간 정합성 확인이 필요합니다.  
⚠️ 갱신계약의 제1회 보험료에 대한 납입최고 기간이 구체적으로 몇 일인지(예: 14일 또는 7일)는 자사_SOL건강 약관에는 명시되지 않았습니다. 표준약관 제28조에서는 14일(1년 미만 계약은 7일)로 규정되어 있으나, 갱신계약 제1회 보험료에 대해 동일한 기간이 적용되는지 확인이 필요합니다.  
■ 섹션 3️⃣  【추가 확인 사항】  
해당 사항에 대해 자사 내부에서 “보통약관 제27조”가 표준약관 제28조와 동일하게 정의되는지, 그리고 갱신계약 제1회 보험료에 대한 납입최고 기간이 표준약관과 동일하게 적용되는지에 대한 내부 지침 문서가 존재하는지 확인이 필요합니다.  
■ 섹션 4️⃣  【권장 조치】  
- 자사_SOL건강 약관의 “보통약관 제27조”가 표준약관 제28조와 동일한 내용인지 공식적으로 확인하고, 필요 시 약관 텍스트를 통일하여 고객 안내 문서에 반영할 것.  
- 갱신계약 제1회 보험료에 대한 납입최고 기간을 명확히 14일(1년 미만 계약은 7일)로 정하여 고객에게 안내할 것.  
- 납입최고기간 내 발생한 사고에 대한 보상 및 차감 절차를 고객에게 사전에 명확히 설명할 수 있는 안내문서를 제작·배포할 것.  
[출처: 자사_SOL건강, 제7관 제3조, p.342 / 약관, 제11관 제49조, p.60 / 표준약관, 제7관 제26조, p.341]
[출처: 자사_SOL건강, 제7관 분쟁조정 등 / 제3조(갱신계약 제1회 보험료의 납입최고(독촉)와 갱신계약의 해제), p.342] [출처: 약관, 제11관 자동갱신에 관한 사항 등 / 제49조(갱신계약 제1회 보험료의 납입최고(독촉)와 계약의 해제), p.60] [출처: 상담사례집, p.137]</t>
        </is>
      </c>
      <c r="I63" s="11" t="str"/>
      <c r="J63" s="11" t="n">
        <v>5</v>
      </c>
      <c r="K63" s="11" t="str"/>
      <c r="L63" s="11" t="str"/>
    </row>
    <row r="64" ht="369.6000061035156" customHeight="1">
      <c r="A64" s="11" t="n">
        <v>63</v>
      </c>
      <c r="B64" s="11" t="inlineStr">
        <is>
          <t>additional56</t>
        </is>
      </c>
      <c r="C64" s="11" t="n">
        <v>43</v>
      </c>
      <c r="D64" s="11" t="inlineStr">
        <is>
          <t>new_20260702_043</t>
        </is>
      </c>
      <c r="E64" s="11" t="inlineStr">
        <is>
          <t>갱신·재가입</t>
        </is>
      </c>
      <c r="F64" s="11" t="inlineStr">
        <is>
          <t>예외확인형</t>
        </is>
      </c>
      <c r="G64" s="11" t="inlineStr">
        <is>
          <t>갱신 전 계약에서 기본계약이나 특별약관의 소멸사유가 발생한 경우 차회 이후 갱신계약 보장에 어떤 제한이 있는지 설명해줘.</t>
        </is>
      </c>
      <c r="H64" s="11" t="inlineStr">
        <is>
          <t>■ 섹션 1️⃣  【확정 근거】  
갱신 전 계약에서 기본계약 또는 특별약관의 소멸사유가 발생한 경우, 차회 이후의 갱신 시 해당 기본계약 및 특별약관의 가입이 불가능합니다. 이는 갱신계약이 자동으로 갱신되기 위한 전제 조건 중 하나인 “갱신전 계약에 소멸사유가 없어야 함”을 위반하기 때문입니다. 따라서 소멸사유 발생 시 갱신이 정지되며, 이후 갱신 요청이나 자동갱신에도 해당 담보는 재가입되지 않습니다.
■ 섹션 2️⃣  【검토 필요 사항】  
⚠️ “소멸사유”의 구체적인 정의(예: 보험금 지급 후 계약 해지, 사기, 허위 진단 등)에 대한 명시적 정의는 제공된 컨텍스트 내에 포함되어 있지 않으며, 보통약관 제27조나 별도의 소멸사유 정의 조항이 참조되어야 할 수 있습니다. 이에 대한 상세 기준은 추가 확인이 필요합니다.
■ 섹션 3️⃣  【추가 확인 사항】  
해당 내용은 제1조(계약의 자동갱신에 관한 사항)와 제2조(갱신계약의 보험계약 적용 특칙)에서 반복적으로 언급되나, 소멸사유의 예시나 구체적 사례(예: 보험금 청구 지연, 허위 진료 등)는 컨텍스트에 명시되지 않았습니다. 이는 회사 내부 지침 또는 보통약관에서 정의될 가능성이 있으므로 추가 확인이 권장됩니다.
■ 섹션 4️⃣  【권장 조치】  
계약자에게 갱신 전 계약의 소멸사유 발생 여부를 사전에 안내하고, 소멸사유에 해당하는 경우 재가입 불가능함을 명확히 통보할 것을 권장합니다. 또한, 소멸사유의 정의를 포함한 보통약관 제27조 및 사업방법서를 함께 확인하여 고객 상담 시 정확한 정보 제공이 필요합니다.
[출처: 자사_SOL건강, 제1조(계약의 자동갱신에 관한 사항), p.341]
[출처: 자사_SOL건강, 제7관 분쟁조정 등 ············································································································································· 63 / 제8조(보험금의 지급절차) p.45 / 별표 및 참고의 '특별약관 색인'을 활용하시면 본인이 실제 가입한 특별약관을 쉽게 찾을 수, p.13-44] [출처: 자사_SOL건강, 제7관 분쟁조정 등 / 제1조(계약의 자동갱신에 관한 사항), p.341] [출처: 자사_SOL건강, 제7관 분쟁조정 등 / 제2조(갱신계약의 보험계약 적용 특칙), p.341-342]</t>
        </is>
      </c>
      <c r="I64" s="11" t="str"/>
      <c r="J64" s="11" t="n">
        <v>5</v>
      </c>
      <c r="K64" s="11" t="str"/>
      <c r="L64" s="11" t="str"/>
    </row>
    <row r="65" ht="145.1999969482422" customHeight="1">
      <c r="A65" s="11" t="n">
        <v>64</v>
      </c>
      <c r="B65" s="11" t="inlineStr">
        <is>
          <t>additional56</t>
        </is>
      </c>
      <c r="C65" s="11" t="n">
        <v>44</v>
      </c>
      <c r="D65" s="11" t="inlineStr">
        <is>
          <t>new_20260702_044</t>
        </is>
      </c>
      <c r="E65" s="11" t="inlineStr">
        <is>
          <t>분쟁·약관해석</t>
        </is>
      </c>
      <c r="F65" s="11" t="inlineStr">
        <is>
          <t>근거요구형</t>
        </is>
      </c>
      <c r="G65" s="11" t="inlineStr">
        <is>
          <t>약관의 뜻이 명백하지 않은 경우 회사는 누구에게 유리하게 해석해야 하는지, 계약자별로 다르게 해석할 수 있는지도 함께 설명해줘.</t>
        </is>
      </c>
      <c r="H65" s="11" t="inlineStr">
        <is>
          <t>약관의 뜻이 명백하지 않은 경우에는 회사는 계약자에게 유리하게 해석해야 합니다. 또한, 회사는 계약자에 따라 약관을 다르게 해석할 수 없습니다. 이는 신의성실의 원칙에 따라 공정하게 약관을 해석해야 한다는 규정에 근거하며, 모든 계약자에게 동일한 기준으로 해석이 적용되어야 합니다.
[출처: 표준약관, 제40조(약관의 해석), p.172]  
[출처: 자사_SOL건강, 제39조(약관의 해석), p.64]  
[출처: 자사_SOL운전자, 제39조(약관의 해석), p.61]  
[출처: 표준약관, 제37조(약관의 해석), p.75]
[출처: 표준약관, 제 7 관 분쟁의 조정 등 / 제40조(약관의 해석) ① 회사는 신의성실의 원칙에 따라 공정하게 약관을, p.172] [출처: 자사_SOL건강, 제7관 분쟁조정 등 / 제39조(약관의 해석), p.64] [출처: 자사_SOL운전자, 제7관 분쟁조정 등 / 제39조(약관의 해석), p.61]</t>
        </is>
      </c>
      <c r="I65" s="11" t="str"/>
      <c r="J65" s="11" t="n">
        <v>5</v>
      </c>
      <c r="K65" s="11" t="str"/>
      <c r="L65" s="11" t="str"/>
    </row>
    <row r="66" ht="488.3999938964844" customHeight="1">
      <c r="A66" s="11" t="n">
        <v>65</v>
      </c>
      <c r="B66" s="11" t="inlineStr">
        <is>
          <t>additional56</t>
        </is>
      </c>
      <c r="C66" s="11" t="n">
        <v>45</v>
      </c>
      <c r="D66" s="11" t="inlineStr">
        <is>
          <t>new_20260702_045</t>
        </is>
      </c>
      <c r="E66" s="11" t="inlineStr">
        <is>
          <t>분쟁·약관해석</t>
        </is>
      </c>
      <c r="F66" s="11" t="inlineStr">
        <is>
          <t>상황형</t>
        </is>
      </c>
      <c r="G66" s="11" t="inlineStr">
        <is>
          <t>보험금 지급사유 확인 중 분쟁조정 신청이 제기되어 조사가 길어지고 있다. 지급예정일과 지급 지연 판단을 어떻게 안내해야 하나?</t>
        </is>
      </c>
      <c r="H66" s="11" t="inlineStr">
        <is>
          <t>■ 섹션 1️⃣  【확정 근거】  
보험금 지급사유 확인 중 분쟁조정 신청이 제기된 경우, 보험금 지급예정일은 서류 접수일로부터 30영업일 이내로 정해지며, 이는 분쟁조정 신청이 지급 지연의 정당한 사유로 명시되어 있습니다. 이 경우 회사는 지급기일(3영업일) 내에 보험금을 지급하지 못할 것으로 명백히 예상될 때, 구체적인 사유(분쟁조정 신청)와 지급예정일(30영업일 이내), 그리고 가지급보험금 제도(추정 보험금의 50% 이내)를 피보험자 또는 보험수익자에게 즉시 통지해야 합니다.  
가지급보험금은 보험수익자의 청구에 따라 회사가 추정하는 보험금의 50% 상당액을 지급할 수 있으며, 이는 추가 조사가 이루어지는 경우에도 적용됩니다.  
■ 섹션 2️⃣  【검토 필요 사항】  
⚠️ 컨텍스트 1, 2, 5, 6, 7, 8에서 ‘분쟁조정 신청’이 지급예정일 연장의 예외 사유로 명시되어 있으나, 일부 문서(컨텍스트 1, 2)에서는 ‘39’라는 불명확한 숫자가 문장 중간에 삽입되어 있어 문맥의 완전성에 의문이 있습니다. 보정본(v2)인 컨텍스트 7과 8, 표준약관(컨텍스트 5, 6)은 문장 구조가 정상적이며, ‘분쟁조정 신청’이 30영업일 이내 지급예정일의 예외로 명확히 포함되어 있으므로 이들을 우선 적용합니다.  
⚠️ ‘가지급보험금’의 정의에서 컨텍스트 1, 2, 7, 8은 “확정된 보험금을 먼저 지급하는”이라고 기술되어 있으나, 실제 지급 조건은 “회사가 추정하는 보험금의 50% 상당액”으로 제한됩니다. 이는 정의와 적용 조건 간 약간의 불일치를 시사하므로, 내부 운영지침과의 일관성 확인이 필요합니다.  
■ 섹션 3️⃣  【추가 확인 사항】  
해당 사례에서 분쟁조정 신청이 실제 금융감독원에 제기되었는지, 그리고 그 신청일과 접수일이 명확히 기록되었는지 확인이 필요합니다. 또한, 보험수익자가 가지급보험금 지급을 청구했는지 여부도 확인해야 합니다.  
■ 섹션 4️⃣  【권장 조치】  
1. 피보험자 또는 보험수익자에게 ‘분쟁조정 신청으로 인한 조사 지연’이라는 구체적인 사유를 통지하고, 지급예정일을 서류 접수일로부터 30영업일 이내로 안내하세요.  
2. 가지급보험금(추정 보험금의 50% 이내) 지급을 청구할 수 있음을 명시하고, 청구 절차를 안내하세요.  
3. 분쟁조정 신청의 진행 상황을 정기적으로 모니터링하여, 조정 결과가 나오는 즉시 보험금 확정 및 잔액 지급을 신속히 처리하세요.  
[출처: 약관, 제10조(보험금의 지급절차), p.40-41 / 표준약관, 제8조(보험금의 지급절차), p.149-150 / 자사_SOL건강, 제8조(보험금의 지급절차), p.48-49]
[출처: 약관, 제4관 보험금의 지급 / 제10조(보험금의 지급절차), p.40-41] [출처: 상담사례집, 제2절 무보험자동차에 의한 상해, p.283] [출처: 표준약관, 제 2 관 보험금의 지급 / 제8조(보험금의 지급절차) ① 회사는 제7조(보험금의 청구)에서 정한 서, p.149-150]</t>
        </is>
      </c>
      <c r="I66" s="11" t="str"/>
      <c r="J66" s="11" t="n">
        <v>5</v>
      </c>
      <c r="K66" s="11" t="str"/>
      <c r="L66" s="11" t="str"/>
    </row>
    <row r="67" ht="422.3999938964844" customHeight="1">
      <c r="A67" s="11" t="n">
        <v>66</v>
      </c>
      <c r="B67" s="11" t="inlineStr">
        <is>
          <t>additional56</t>
        </is>
      </c>
      <c r="C67" s="11" t="n">
        <v>46</v>
      </c>
      <c r="D67" s="11" t="inlineStr">
        <is>
          <t>new_20260702_046</t>
        </is>
      </c>
      <c r="E67" s="11" t="inlineStr">
        <is>
          <t>분쟁·약관해석</t>
        </is>
      </c>
      <c r="F67" s="11" t="inlineStr">
        <is>
          <t>근거요구형</t>
        </is>
      </c>
      <c r="G67" s="11" t="inlineStr">
        <is>
          <t>보험계약 관련 소송이나 민사조정의 관할법원은 원칙적으로 어디인지, 회사와 계약자가 합의하면 달리 정할 수 있는지 설명해줘.</t>
        </is>
      </c>
      <c r="H67" s="11" t="inlineStr">
        <is>
          <t>■ 섹션 1️⃣  【확정 근거】  
보험계약 관련 소송 및 민사조정의 관할법원은 원칙적으로 **회사의 본점 또는 지점 소재지 중 계약자 또는 피보험자가 선택하는 대한민국 내의 법원**입니다. 이는 표준약관 제22조(또는 제21조)에 명시되어 있으며, 동일한 내용이 여러 컨텍스트에서 반복 확인됩니다. 또한, 회사와 계약자 또는 피보험자가 합의하면 관할법원을 달리 정할 수 있습니다.  
한편, 2025년 3월 31일 개정된 버전에서는 관할법원이 **계약자의 주소지를 관할하는 법원**으로 변경되었으며, 이 역시 회사와 계약자가 합의하여 달리 정할 수 있습니다.  
따라서, 관할법원은 약관 버전에 따라 두 가지 원칙이 존재합니다:  
- **기존 원칙**(2025.3.31 이전): 회사 본점/지점 소재지 중 계약자/피보험자 선택  
- **개정 원칙**(2025.3.31 이후): 계약자 주소지  
두 경우 모두, 당사자 간 합의로 관할법원을 달리 정할 수 있습니다.  
■ 섹션 2️⃣  【검토 필요 사항】  
⚠️ 컨텍스트 7과 8에는 “&lt;개정 2025.3.31.&gt;” 명시로, 이 조항이 최신 개정판임을 시사하지만, 해당 개정이 전체 약관에 통용되는지, 또는 특정 계약에만 적용되는지는 추가 확인이 필요합니다.  
⚠️ 제21조와 제22조가 동일한 내용을 가진 채 서로 다른 조문 번호로 존재하는 것은 문서 구조상 혼동 가능성이 있으므로, 최종 적용 버전이 어떤 조문을 기준으로 하는지 확인이 필요합니다.  
■ 섹션 3️⃣  【추가 확인 사항】  
해당 없음  
■ 섹션 4️⃣  【권장 조치】  
해당 없음  
[출처: 표준약관, 제22조(관할법원), p.474 / 표준약관, 제61조(관할법원), p.120]
[출처: 표준약관, 제7관 분쟁의 조정 등 / 제22조(관할법원) 이 계약에 관한 소송 및 민사조정은 회사의 본점 또는, p.474] [출처: 표준약관, 제7관 분쟁의 조정 등 / 제21조(관할법원) 이 계약에 관한 소송 및 민사조정은 회사의 본점 또는, p.488] [출처: 표준약관, 제7관 분쟁의 조정 등 / 제22조(관할법원) 이 계약에 관한 소송 및 민사조정은 회사의 본점 또는, p.459-460]</t>
        </is>
      </c>
      <c r="I67" s="11" t="str"/>
      <c r="J67" s="11" t="n">
        <v>5</v>
      </c>
      <c r="K67" s="11" t="str"/>
      <c r="L67" s="11" t="str"/>
    </row>
    <row r="68" ht="356.3999938964844" customHeight="1">
      <c r="A68" s="11" t="n">
        <v>67</v>
      </c>
      <c r="B68" s="11" t="inlineStr">
        <is>
          <t>additional56</t>
        </is>
      </c>
      <c r="C68" s="11" t="n">
        <v>47</v>
      </c>
      <c r="D68" s="11" t="inlineStr">
        <is>
          <t>new_20260702_047</t>
        </is>
      </c>
      <c r="E68" s="11" t="inlineStr">
        <is>
          <t>분쟁·약관해석</t>
        </is>
      </c>
      <c r="F68" s="11" t="inlineStr">
        <is>
          <t>상황형</t>
        </is>
      </c>
      <c r="G68" s="11" t="inlineStr">
        <is>
          <t>감마나이프 수술처럼 입원하지 않고 수술을 받은 경우 입원의료비 지급 여부가 약관상 명확하지 않다. 약관해석 원칙상 어떤 방향으로 검토해야 하나?</t>
        </is>
      </c>
      <c r="H68" s="11" t="inlineStr">
        <is>
          <t>■ 섹션 1️⃣  【확정 근거】  
감마나이프 수술처럼 입원하지 않고 수술을 받은 경우, 약관상 ‘입원의료비’의 지급 여부는 ‘입원’이라는 용어의 명확한 의미에 기반하여 해석되어야 합니다. 금융감독원 분쟁조정위원회는 ‘입원’이라는 단어의 의미가 너무나 분명하여 이를 ‘입원에 준하여’로 해석하는 것은 무리가 있으며, 입원여부는 의사의 판단에 따라 결정되므로, 입원하지 않은 경우 입원의료비를 지급할 책임이 없다고 판단하였습니다. 또한, 의료비의 보상 담보는 의료행위가 입원 치료 중에 발생했는지 통원 치료 중에 발생했는지에 따라 결정되며, 질병의 경중이나 연관성만으로는 입원에 준하여 처리할 수 없습니다.
■ 섹션 2️⃣  【검토 필요 사항】  
⚠️ 약관의 구체적인 조항(예: 제2조(입원의료비))이 본 컨텍스트에 명시되지 않아, ‘입원에 준하여’라는 해석이 약관 내에 명시된 예외 조항인지 여부는 추가 확인이 필요합니다. 또한, 동일한 사례에서 금감원 분조위 제2003-43호가 인용되었으나, 해당 결정문의 전문이 제공되지 않아 해석의 법적 근거를 완전히 검증할 수 없습니다.
■ 섹션 3️⃣  【추가 확인 사항】  
해당 약관에서 ‘입원’의 정의가 명시되어 있는지, ‘당일 퇴원 수술’에 대한 별도의 보상 규정(예: 단기입원, 외래수술)이 존재하는지 여부를 약관 본문에서 확인해야 합니다. 또한, 실손의료보험 약관의 ‘입원의료비’와 ‘통원의료비’의 정의를 비교하여, 수술비가 통원의료비 항목에 포함되는지 확인이 필요합니다.
■ 섹션 4️⃣  【권장 조치】  
보험사 내부에서는 ‘입원’의 의미를 평균적 계약자의 이해 가능성을 기준으로 객관적·획일적으로 해석하고, 입원하지 않은 수술에 대해서는 통원의료비로 처리하는 방향으로 일관된 적용 기준을 수립할 것을 권장합니다. 고객에게는 입원 여부에 따라 보상 담보가 달라진다는 점을 사전에 명확히 안내할 수 있는 계약서 및 안내문을 개선할 필요가 있습니다.
[출처: 상담사례집, 제2절 무보험자동차에 의한 상해, p.247]
[출처: 상담사례집, 제2절 무보험자동차에 의한 상해, p.246]</t>
        </is>
      </c>
      <c r="I68" s="11" t="str"/>
      <c r="J68" s="11" t="n">
        <v>3</v>
      </c>
      <c r="K68" s="11" t="str"/>
      <c r="L68" s="11" t="inlineStr">
        <is>
          <t>설명하기 힘든 애매함.</t>
        </is>
      </c>
    </row>
    <row r="69" ht="422.3999938964844" customHeight="1">
      <c r="A69" s="11" t="n">
        <v>68</v>
      </c>
      <c r="B69" s="11" t="inlineStr">
        <is>
          <t>additional56</t>
        </is>
      </c>
      <c r="C69" s="11" t="n">
        <v>48</v>
      </c>
      <c r="D69" s="11" t="inlineStr">
        <is>
          <t>new_20260702_048</t>
        </is>
      </c>
      <c r="E69" s="11" t="inlineStr">
        <is>
          <t>분쟁·약관해석</t>
        </is>
      </c>
      <c r="F69" s="11" t="inlineStr">
        <is>
          <t>패러프레이즈</t>
        </is>
      </c>
      <c r="G69" s="11" t="inlineStr">
        <is>
          <t>금융감독원 분쟁조정위원회 결정례를 답변 근거로 사용할 때 약관 조문과 어떤 관계로 설명해야 하는지 핵심만 정리해줘.</t>
        </is>
      </c>
      <c r="H69" s="11" t="inlineStr">
        <is>
          <t>■ 섹션 1️⃣  【확정 근거】  
금융감독원 분쟁조정위원회 결정례는 약관 조문이 명확하지 않거나 다의적으로 해석될 경우, 그 해석의 기준으로 사용됩니다. 특히, 약관의 문언이 모호하거나 피보험자와 보험사 간 이해가 대립할 때, 결정례는 ‘평균적 고객의 이해 가능성’과 ‘신의성실의 원칙’에 입각해 보험계약을 객관적·획일적으로 해석하도록 하며, 그 결과가 고객에게 유리한 방향으로 해석되어야 한다고 명시합니다. 따라서 약관 조문 자체만으로는 판단이 어려울 때, 결정례는 해석의 보완적 근거로 활용되며, 약관의 문언이 명확하면 결정례는 그 해석을 변경하지 못합니다.
■ 섹션 2️⃣  【검토 필요 사항】  
⚠️ 컨텍스트 1, 2, 3, 4, 5, 6에는 동일한 텍스트가 반복되어 있으며, ‘금융감독원 분쟁조정위원회 결정’의 구체적인 조문 번호(예: 제2조, 제8조 등)와 직접 연결된 해석 사례가 명시되지 않음. 결정례가 어떤 약관 조항에 대해 적용되었는지 정확한 조문 대응이 불명확하여, 실제 사례 적용 시 약관 조문과의 정확한 연계가 필요함.  
⚠️ 컨텍스트 7, 8은 약관 구성 설명에 국한되어 있으며, 결정례와 약관 조문의 관계를 설명하는 구체적 조항은 포함되지 않음.
■ 섹션 3️⃣  【추가 확인 사항】  
해당 결정례(예: 제2003-43호, 제2016-12호, 제2017-9호)가 적용된 구체적인 약관 조항(예: 입원의료비, 통원치료, 계약전 발병 조항 등)의 원문을 약관 본문에서 확인할 필요 있음. 현재 컨텍스트는 결정례의 내용은 인용했으나, 해당 조항이 약관 어디에 위치하는지 명시되지 않음.
■ 섹션 4️⃣  【권장 조치】  
금융감독원 결정례를 근거로 사용할 때는 반드시 해당 결정례가 언급한 약관 조항(예: 제2조 입원의료비, 제8조 보험금 지급절차 등)을 약관 본문에서 확인하고, 그 조항의 문언이 모호한 경우에만 결정례를 해석 보완 근거로 제시해야 함. 결정례는 약관의 명확한 문언을 대체하거나 수정하는 수단이 아님.
[출처: 상담사례집, 제2절 무보험자동차에 의한 상해, p.247]  
[출처: 상담사례집, 제2절 무보험자동차에 의한 상해, p.240]  
[출처: 상담사례집, 제2절 무보험자동차에 의한 상해, p.293]
[출처: 약관, 제12관 재가입에 관한 사항 등 ............................................................................................. 60 / 제55조(예금보험에 의한 지급보장) ................................................................................................................ 61, p.4-8]</t>
        </is>
      </c>
      <c r="I69" s="11" t="str"/>
      <c r="J69" s="11" t="n">
        <v>5</v>
      </c>
      <c r="K69" s="11" t="str"/>
      <c r="L69" s="11" t="str"/>
    </row>
    <row r="70" ht="396" customHeight="1">
      <c r="A70" s="11" t="n">
        <v>69</v>
      </c>
      <c r="B70" s="11" t="inlineStr">
        <is>
          <t>additional56</t>
        </is>
      </c>
      <c r="C70" s="11" t="n">
        <v>49</v>
      </c>
      <c r="D70" s="11" t="inlineStr">
        <is>
          <t>new_20260702_049</t>
        </is>
      </c>
      <c r="E70" s="11" t="inlineStr">
        <is>
          <t>분쟁·약관해석</t>
        </is>
      </c>
      <c r="F70" s="11" t="inlineStr">
        <is>
          <t>예외확인형</t>
        </is>
      </c>
      <c r="G70" s="11" t="inlineStr">
        <is>
          <t>보험금 지급 지연 이자를 계산할 때 사실확인이 끝날 때까지 이자를 지급하지 않을 수 있는 경우가 있는지 설명해줘.</t>
        </is>
      </c>
      <c r="H70" s="11" t="inlineStr">
        <is>
          <t>■ 섹션 1️⃣  【확정 근거】  
보험금 지급 지연 이자를 지급하지 않을 수 있는 경우는, 계약자, 피보험자 또는 보험수익자가 정당한 사유 없이 회사의 서면 조사요청에 동의하지 않을 때입니다. 이 경우 회사는 사실확인이 끝날 때까지 보험금 지급지연에 따른 이자를 지급하지 않습니다. 이는 실손의료보험 표준약관 및 자사 약관 모두에서 명시된 내용으로, 조사 요청에 대한 동의는 보험금 지급 절차의 전제 조건이며, 이에 불응할 경우 이자 지급 의무가 정지됩니다.
■ 섹션 2️⃣  【검토 필요 사항】  
⚠️ 컨텍스트 1 및 2에서 인용된 금융감독원 분쟁조정위원회 결정 문장이 불완전하게 절단되어 있어, ‘질병으로 인하여’ 이후의 문맥이 누락되었습니다. 이는 ‘통원 치료’와 ‘보험금 지급 이자’ 간의 관계를 해석하는 데 영향을 줄 수 있으나, 현재 질문의 핵심인 ‘사실확인 완료 전 이자 지급 정지’ 조건은 다른 컨텍스트(3~8)에서 명확히 확인되므로, 이 부분은 본 질문의 답변에 직접적 영향을 주지 않습니다.
■ 섹션 3️⃣  【추가 확인 사항】  
해당 사항에 대한 명확한 예외 조항(예: 긴급 상황, 장애인 등 특수 상황)은 제공된 컨텍스트에 포함되어 있지 않습니다. 정당한 사유의 기준(예: 의료기관 접근 불가, 문서 제출 지연 등)에 대한 구체적 해석은 별도의 내부 지침이나 사례집에 의존할 수 있으나, 현재 컨텍스트에는 명시되지 않음.
■ 섹션 4️⃣  【권장 조치】  
보험수익자에게 서면 조사 요청에 대한 동의를 신속히 수행하도록 안내하고, 동의 거부 시 그 사유를 서면으로 제출하도록 요청하여 정당한 사유 여부를 사전에 판단할 수 있도록 하세요. 또한, 조사 진행 상황을 정기적으로 통보하여 사실확인 기간을 최소화하고 이자 지급 지연을 방지하는 것이 바람직합니다.
[출처: 약관, 제10조(보험금의 지급절차), p.41]  
[출처: 표준약관, 제8조(보험금의 지급절차), p.325]  
[출처: 자사_SOL건강, 제8조(보험금의 지급절차), p.49]  
[출처: 자사_SOL운전자, 제8조(보험금의 지급절차), p.47]
[출처: 상담사례집, 제2절 무보험자동차에 의한 상해, p.240] [출처: 자사_SOL건강, 제2관 보험금의 지급 / 제8조(보험금의 지급절차), p.48-49] [출처: 자사_SOL운전자, 제2관 보험금의 지급 / 제8조(보험금의 지급절차), p.46-47]</t>
        </is>
      </c>
      <c r="I70" s="11" t="str"/>
      <c r="J70" s="11" t="n">
        <v>5</v>
      </c>
      <c r="K70" s="11" t="str"/>
      <c r="L70" s="11" t="str"/>
    </row>
    <row r="71" ht="409.2000122070312" customHeight="1">
      <c r="A71" s="11" t="n">
        <v>70</v>
      </c>
      <c r="B71" s="11" t="inlineStr">
        <is>
          <t>additional56</t>
        </is>
      </c>
      <c r="C71" s="11" t="n">
        <v>50</v>
      </c>
      <c r="D71" s="11" t="inlineStr">
        <is>
          <t>new_20260702_050</t>
        </is>
      </c>
      <c r="E71" s="11" t="inlineStr">
        <is>
          <t>분쟁·약관해석</t>
        </is>
      </c>
      <c r="F71" s="11" t="inlineStr">
        <is>
          <t>결론우선형</t>
        </is>
      </c>
      <c r="G71" s="11" t="inlineStr">
        <is>
          <t>약관을 해석할 때 회사가 지켜야 하는 신의성실의 원칙과 공정 해석 원칙의 결론을 먼저 말해줘.</t>
        </is>
      </c>
      <c r="H71" s="11" t="inlineStr">
        <is>
          <t>■ 섹션 1️⃣  【확정 근거】  
약관을 해석할 때 회사가 지켜야 하는 신의성실의 원칙과 공정 해석 원칙의 결론은 다음과 같습니다:  
1. 회사는 신의성실의 원칙에 따라 공정하게 약관을 해석해야 하며, 계약자에 따라 다르게 해석하지 않습니다.  
2. 약관의 뜻이 명백하지 않은 경우에는 계약자에게 유리하게 해석합니다.  
3. 보험금을 지급하지 않는 사유(또는 보상하지 않는 손해) 등 계약자 또는 피보험자에게 불리하거나 부담을 주는 내용은 확대하여 해석하지 않습니다.  
이 원칙은 실손의료보험 약관과 표준약관 모두에서 일관되게 명시되어 있으며, 계약자 보호를 위한 법적 기준으로 작용합니다.  
■ 섹션 2️⃣  【검토 필요 사항】  
⚠️ 컨텍스트 1과 2에서는 “보험금을 지급하지 않는 사유”라는 표현을 사용했고, 컨텍스트 3~8에서는 “보상하지 않는 손해”라는 표현을 사용했습니다. 이는 동일한 개념을 가리키는지, 또는 보험금 지급 사유와 보상 범위의 차이를 반영하는지에 대한 명확한 정의가 문서 내에 없습니다. 다만, 실손의료보험의 맥락에서 ‘보험금 지급하지 않는 사유’와 ‘보상하지 않는 손해’는 동일한 의미로 해석하는 것이 일반적이므로, 내용적 차이는 없으나 용어 일관성은 추가 확인이 필요합니다.  
■ 섹션 3️⃣  【추가 확인 사항】  
해당 없음  
■ 섹션 4️⃣  【권장 조치】  
해당 없음  
[출처: 약관, 제43조(약관의 해석), p.58-59]  
[출처: 표준약관, 제24조(약관의 해석), p.460]  
[출처: 표준약관, 제24조(약관의 해석), p.474]  
[출처: 표준약관, 제23조(약관의 해석), p.488]
[출처: 약관, 제10관 분쟁조정 등 / 제43조(약관의 해석), p.58-59] [출처: 표준약관, 제7관 분쟁의 조정 등 / 제24조(약관의 해석) ① 회사는 신의성실의 원칙에 따라 공정하게 약관을, p.460] [출처: 표준약관, 제7관 분쟁의 조정 등 / 제24조(약관의 해석) ① 회사는 신의성실의 원칙에 따라 공정하게 약관을, p.474]</t>
        </is>
      </c>
      <c r="I71" s="11" t="str"/>
      <c r="J71" s="11" t="n">
        <v>5</v>
      </c>
      <c r="K71" s="11" t="str"/>
      <c r="L71" s="11" t="str"/>
    </row>
    <row r="72" ht="118.8000030517578" customHeight="1">
      <c r="A72" s="11" t="n">
        <v>71</v>
      </c>
      <c r="B72" s="11" t="inlineStr">
        <is>
          <t>additional56</t>
        </is>
      </c>
      <c r="C72" s="11" t="n">
        <v>51</v>
      </c>
      <c r="D72" s="11" t="inlineStr">
        <is>
          <t>new_20260702_051</t>
        </is>
      </c>
      <c r="E72" s="11" t="inlineStr">
        <is>
          <t>제도성 특별약관</t>
        </is>
      </c>
      <c r="F72" s="11" t="inlineStr">
        <is>
          <t>패러프레이즈</t>
        </is>
      </c>
      <c r="G72" s="11" t="inlineStr">
        <is>
          <t>지정대리청구서비스는 어떤 상황에 대비해 두는 제도인지 핵심만 정리해줘.</t>
        </is>
      </c>
      <c r="H72" s="11" t="inlineStr">
        <is>
          <t>지정대리청구서비스는 피보험자가 치매 등으로 인해 본인 스스로 보험금 청구가 현실적으로 어려운 상황에 대비해, 미리 지정한 대리인에게 보험금 청구 권한을 위임하는 제도입니다.
[출처: 약관, 제3조(지정대리청구인의 지정), p.90]
[출처: 자사_SOL건강, 제7관 분쟁조정 등 ············································································································································· 63 / 제8조(보험금의 지급절차) p.45 / 별표 및 참고의 '특별약관 색인'을 활용하시면 본인이 실제 가입한 특별약관을 쉽게 찾을 수, p.13-44] [출처: 약관, 제12관 재가입에 관한 사항 등 / 제3조(지정대리청구인의 지정), p.90] [출처: 자사_SOL건강, 제7관 분쟁조정 등 / 제3조(지정대리청구인의 지정), p.350]</t>
        </is>
      </c>
      <c r="I72" s="11" t="str"/>
      <c r="J72" s="11" t="n">
        <v>5</v>
      </c>
      <c r="K72" s="11" t="str"/>
      <c r="L72" s="11" t="str"/>
    </row>
    <row r="73" ht="448.7999877929688" customHeight="1">
      <c r="A73" s="11" t="n">
        <v>72</v>
      </c>
      <c r="B73" s="11" t="inlineStr">
        <is>
          <t>additional56</t>
        </is>
      </c>
      <c r="C73" s="11" t="n">
        <v>52</v>
      </c>
      <c r="D73" s="11" t="inlineStr">
        <is>
          <t>new_20260702_052</t>
        </is>
      </c>
      <c r="E73" s="11" t="inlineStr">
        <is>
          <t>제도성 특별약관</t>
        </is>
      </c>
      <c r="F73" s="11" t="inlineStr">
        <is>
          <t>상황형</t>
        </is>
      </c>
      <c r="G73" s="11" t="inlineStr">
        <is>
          <t>계약자 본인이 치매 등으로 보험금을 직접 청구하기 어려운 상황이 발생했다. 미리 지정한 보험금 지정대리청구인이 대신 청구할 수 있는지 설명해줘.</t>
        </is>
      </c>
      <c r="H73" s="11" t="inlineStr">
        <is>
          <t>■ 섹션 1️⃣  【확정 근거】  
계약자 본인이 치매 등으로 보험금을 직접 청구하기 어려운 상황이 발생한 경우, 미리 지정한 보험금 지정대리청구인이 대신 보험금을 청구할 수 있습니다. 이는 보험금 지정대리청구인 제도의 목적에 부합하며, 특히 치매 발생 시 계약자가 보험금 청구를 할 수 없는 특별한 사정이 발생한 경우를 명시적으로 예시로 들고 있습니다. 지정대리청구인은 계약 체결 시 또는 유지 중에 피보험자의 배우자 또는 3촌 이내의 친족 중에서 2인 이내로 지정할 수 있으며, 회사의 승낙을 얻어 보험금(사망보험금 제외)을 청구하고 수령할 수 있습니다.  
■ 섹션 2️⃣  【검토 필요 사항】  
⚠️ 지정대리청구인이 사망보험금을 청구할 수 있는지에 대한 명시적 규정이 없습니다. 사망보험금은 제5조에서 명시적으로 제외되었으나, 치매 상황에서의 사망보험금 청구 대리 여부는 추가 확인이 필요합니다.  
⚠️ 지정대리청구인의 지정 시점이 치매 발생 전인지 여부가 중요하나, 컨텍스트 내에서 ‘치매 발생 후 지정 불가’라는 명시적 제한은 없으나, 일반 원칙상 ‘사고 발생 전 지정’이 전제되므로, 치매 발생 후 지정은 불가능할 수 있음. 이에 대한 명확한 규정은 추가 확인 필요.  
■ 섹션 3️⃣  【추가 확인 사항】  
해당 보험상품이 사망보험금을 포함하는지 여부, 그리고 치매 발생 후 지정대리청구인 지정이 가능한지에 대한 특별약관 여부가 추가로 확인 필요합니다.  
■ 섹션 4️⃣  【권장 조치】  
계약자는 치매 등 장애 발생 전에 배우자 또는 3촌 이내 친족을 지정대리청구인으로 미리 지정할 것을 권장합니다. 치매 발생 후에는 지정이 불가능할 수 있으므로, 조기 지정이 필수입니다. 또한, 지정대리청구인은 보험금 청구 시 ‘보험수익자가 직접 청구할 수 없는 특별한 사정’을 증명하는 서류(예: 의료기관의 치매 진단서 등)를 제출해야 하므로, 사전에 준비를 권장합니다.  
[출처: 약관, 제3조(지정대리청구인의 지정), p.90 / 약관, 제5조(보험금 지급 등의 절차), p.91]
[출처: 자사_SOL운전자, 제7관 분쟁조정 등 ············································································································································· 60 / 제8조(보험금의 지급절차) p.44 / 별표 및 참고의 '특별약관 색인'을 활용하시면 본인이 실제 가입한 특별약관을 쉽게 찾을 수, p.9-41] [출처: 약관, 제12관 재가입에 관한 사항 등 ............................................................................................. 60 / 제55조(예금보험에 의한 지급보장) ................................................................................................................ 61 / 별표 및 참고의 '약관에서 인용된 법∙규정'을 활용하시면 약관에서 인용한 법률 조항 및 p.131, p.8-31] [출처: 약관, 제12관 재가입에 관한 사항 등 / 제5조(보험금 지급 등의 절차), p.91]</t>
        </is>
      </c>
      <c r="I73" s="11" t="str"/>
      <c r="J73" s="11" t="n">
        <v>5</v>
      </c>
      <c r="K73" s="11" t="str"/>
      <c r="L73" s="11" t="str"/>
    </row>
    <row r="74" ht="594" customHeight="1">
      <c r="A74" s="11" t="n">
        <v>73</v>
      </c>
      <c r="B74" s="11" t="inlineStr">
        <is>
          <t>additional56</t>
        </is>
      </c>
      <c r="C74" s="11" t="n">
        <v>53</v>
      </c>
      <c r="D74" s="11" t="inlineStr">
        <is>
          <t>new_20260702_053</t>
        </is>
      </c>
      <c r="E74" s="11" t="inlineStr">
        <is>
          <t>제도성 특별약관</t>
        </is>
      </c>
      <c r="F74" s="11" t="inlineStr">
        <is>
          <t>근거요구형</t>
        </is>
      </c>
      <c r="G74" s="11" t="inlineStr">
        <is>
          <t>단체실손의료보험과 중복되는 개인실손의료보험을 중지할 수 있는 제도의 목적과 신청 가능 상황을 설명해줘.</t>
        </is>
      </c>
      <c r="H74" s="11" t="inlineStr">
        <is>
          <t>■ 섹션 1️⃣  【확정 근거】  
단체실손의료보험과 중복되는 개인실손의료보험을 중지할 수 있는 제도의 목적은, 보장이 중복되는 보장종목(예: 상해입원, 질병입원 등)에 대해 불필요한 이중 보험료 납입을 방지하고, 피보험자의 경제적 부담을 완화하기 위함입니다. 이 제도는 개인실손의료보험 가입자가 단체실손의료보험에 가입되어 있을 때, 중복된 보장에 대해 개인실손의 보험료 납입 및 보장을 일시적으로 중지할 수 있도록 하여, 보험료 효율성을 높이고 보험의 본질적 기능(실손 보상)에 집중하도록 설계되었습니다.
신청 가능 상황은 다음과 같습니다:  
1. 개인실손의료보험 계약자가 최초 보장개시일로부터 1년 이상 유지 중인 유효한 계약자일 것.  
2. 개인실손의 피보험자가 단체실손의료보험에 중복가입되어 단체실손의 피보험자일 것.  
이 두 요건을 모두 충족할 경우, 개인실손의 계약자는 중복 보장종목에 대해 보험료 납입 및 보장을 중지할 수 있으며, 회사는 이 청약을 받고 30일 이내에 승낙하거나 거절해야 하며, 승낙 시 ‘계약중지확인서’와 ‘중지지급금’을 지급합니다.  
또한, 단체실손의료보험 종료 후 1개월 이내에는 중지된 개인실손의료보험을 무심사로 재개할 수 있으며, 재개 시점에는 중지 당시의 상품으로 복원됩니다.  
[출처: 약관, 제2조(계약중지에 관한 사항), p.120-121]  
[출처: 상담사례집, p.95]  
[출처: 상담사례집, p.96]  
■ 섹션 2️⃣  【검토 필요 사항】  
⚠️ 컨텍스트 3과 4에서 “단체실손의료보험 종료 후 1개월 이내에 재개 가능”이라는 내용이 반복되나, 재개 시점의 상품 변경 조건(“판매 또는 보유하고 있는 상품으로 재개”)에 대한 구체적 기준이 명시되지 않아, 보험사별 적용 차이가 있을 수 있음.  
⚠️ ‘중지지급금’ 산출 방식이 ‘해약환급금 산출방법서’에 근거한다고 명시되었으나, 해당 산출방법서의 구체적 내용은 컨텍스트에 포함되지 않아, 피보험자가 수령할 금액의 정확한 계산 기준은 추가 확인 필요.  
■ 섹션 3️⃣  【추가 확인 사항】  
해당 제도가 적용되는 보장종목의 구체적 예시(예: 상해입원, 질병입원 등) 외에, 비급여, 외래, 약제 등 다른 보장종목이 중복 여부에 포함되는지에 대한 명시가 부족함.  
단체실손의료보험의 ‘중지제도 특약’ 가입 여부에 따라 회사가 중지제도를 운영하지 않을 수 있다는 내용(상담사례집 p.96)에 따라, 계약자별 적용 차이가 있을 수 있음.  
■ 섹션 4️⃣  【권장 조치】  
1. 피보험자는 개인실손과 단체실손의 보장종목이 중복되는지 사전에 확인하고, 중지 신청 시 ‘계약중지확인서’를 반드시 수령할 것.  
2. 중지 후 재개를 고려하는 경우, 단체실손 종료일로부터 1개월 이내에 신청할 것을 권장하며, 재개 시점의 상품이 변경될 수 있음을 사전에 확인할 것.  
3. 중지지급금 산출 내역을 요청하여, 보험료 및 적립액의 정확한 내역을 확인할 것.
[출처: 약관, 제12관 재가입에 관한 사항 등 ............................................................................................. 60 / 제55조(예금보험에 의한 지급보장) ................................................................................................................ 61 / 별표 및 참고의 '약관에서 인용된 법∙규정'을 활용하시면 약관에서 인용한 법률 조항 및 p.131, p.8-31] [출처: 약관, 제12관 재가입에 관한 사항 등 / 제2조(계약중지에 관한 사항), p.120-121]</t>
        </is>
      </c>
      <c r="I74" s="11" t="str"/>
      <c r="J74" s="11" t="n">
        <v>5</v>
      </c>
      <c r="K74" s="11" t="str"/>
      <c r="L74" s="11" t="str"/>
    </row>
    <row r="75" ht="303.6000061035156" customHeight="1">
      <c r="A75" s="11" t="n">
        <v>74</v>
      </c>
      <c r="B75" s="11" t="inlineStr">
        <is>
          <t>additional56</t>
        </is>
      </c>
      <c r="C75" s="11" t="n">
        <v>54</v>
      </c>
      <c r="D75" s="11" t="inlineStr">
        <is>
          <t>new_20260702_054</t>
        </is>
      </c>
      <c r="E75" s="11" t="inlineStr">
        <is>
          <t>제도성 특별약관</t>
        </is>
      </c>
      <c r="F75" s="11" t="inlineStr">
        <is>
          <t>예외확인형</t>
        </is>
      </c>
      <c r="G75" s="11" t="inlineStr">
        <is>
          <t>개인실손 중지·재개 제도를 설명할 때 노후실손, 유병력자실손, 여행실손은 개인실손 범위에서 어떻게 취급되는지 확인해줘.</t>
        </is>
      </c>
      <c r="H75" s="11" t="inlineStr">
        <is>
          <t>■ 섹션 1️⃣  【확정 근거】  
개인실손의료보험은 노후실손, 유병력자실손, 여행실손의료보험을 제외한 실손의료보험을 의미합니다. 즉, 노후실손, 유병력자실손, 여행실손은 개인실손의 범위에 포함되지 않습니다. 이는 약관에서 명확히 정의되어 있으며, 중지·재개 제도의 적용 대상에서도 이들 상품은 제외됩니다.  
■ 섹션 2️⃣  【검토 필요 사항】  
⚠️ 컨텍스트 1과 2에서 “노후·유병력자·여행실손의료보험(여행보험상품에 포함된 실손의료보험을 말함)”을 제외한다는 표현이 반복되나, 이들이 단체실손과 구분되는 별도 상품임을 명시할 뿐, 이들 상품의 재개 또는 중지 절차에 대한 구체적 적용 여부는 명시되지 않음. 단, 이들이 개인실손이 아니므로 재개제도의 적용 대상이 아님은 확정됨.  
■ 섹션 3️⃣  【추가 확인 사항】  
해당 컨텍스트 내에서 노후실손, 유병력자실손, 여행실손이 각각 어떤 보험상품으로 분류되는지(예: 단체실손 또는 별도 상품)에 대한 추가 정의는 제공되지 않음.  
■ 섹션 4️⃣  【권장 조치】  
개인실손 중지·재개 제도는 노후실손, 유병력자실손, 여행실손에 적용되지 않으므로, 고객이 이들 상품을 보유 중일 경우 개인실손 중지·재개 절차를 적용할 수 없음을 명확히 안내해야 함.  
[출처: 약관, 제12관 재가입에 관한 사항 등 / 제1조(특별약관의 적용 및 방법), p.122]  
[출처: 약관, 제12관 재가입에 관한 사항 등 / 제1조(목적), p.128]
[출처: 상담사례집, p.96] [출처: 약관, 제12관 재가입에 관한 사항 등 / 제3조(계약재개에 관한 사항), p.129-131]</t>
        </is>
      </c>
      <c r="I75" s="11" t="str"/>
      <c r="J75" s="11" t="n">
        <v>5</v>
      </c>
      <c r="K75" s="11" t="str"/>
      <c r="L75" s="11" t="str"/>
    </row>
    <row r="76" ht="409.2000122070312" customHeight="1">
      <c r="A76" s="11" t="n">
        <v>75</v>
      </c>
      <c r="B76" s="11" t="inlineStr">
        <is>
          <t>additional56</t>
        </is>
      </c>
      <c r="C76" s="11" t="n">
        <v>55</v>
      </c>
      <c r="D76" s="11" t="inlineStr">
        <is>
          <t>new_20260702_055</t>
        </is>
      </c>
      <c r="E76" s="11" t="inlineStr">
        <is>
          <t>제도성 특별약관</t>
        </is>
      </c>
      <c r="F76" s="11" t="inlineStr">
        <is>
          <t>근거요구형</t>
        </is>
      </c>
      <c r="G76" s="11" t="inlineStr">
        <is>
          <t>이륜자동차 운전 및 탑승 중 상해 부담보 특별약관에서 전동킥보드 같은 개인형 이동장치가 차량 범위에 포함될 수 있는지 설명해줘.</t>
        </is>
      </c>
      <c r="H76" s="11" t="inlineStr">
        <is>
          <t>■ 섹션 1️⃣  【확정 근거】  
이륜자동차 운전 및 탑승 중 상해 부담보 특별약관에서 전동킥보드 같은 개인형 이동장치는 차량 범위에 포함됩니다.  
약관에서는 ‘이륜자동차’의 정의에 ‘개인형 이동장치(전동킥보드, 전동휠 등을 포함)’를 명시적으로 포함하고 있으며, 이는 「자동차관리법」과 「도로교통법」에 정의된 이륜자동차 및 원동기장치자전거에 해당한다고 명시되어 있습니다. 또한, 상담사례집[컨텍스트 7]에서도 일상생활배상책임보험 약관에서 ‘차량’의 정의로 전동킥보드를 포함시키고, 이는 운전자보험과 동일한 법적 기준을 따르는 것으로 해석됩니다. 이륜자동차 운전 중 상해 부담보 특약(컨텍스트 8)에서도 ‘이륜자동차’의 범위에 전동킥보드가 포함된다는 점은, 보험사가 일관되게 개인형 이동장치를 이륜자동차로 간주하고 있음을 보여줍니다.  
■ 섹션 2️⃣  【검토 필요 사항】  
⚠️ 컨텍스트 8에서 “이륜자동차를 운전(탑승을 포함)하던 중 발생한...”이라는 표현이 ‘운전’의 정의에 대해 구체적인 법적 기준(예: 도로교통법의 ‘운전’ 정의)을 인용하지 않고, 사고 발생 상황(시동을 걸지 않은 채 끌어내는 행위)에 대한 해석이 불완전합니다. 이로 인해 전동킥보드를 ‘운전’하지 않고 단순히 이동시키는 행위가 특약의 면책 대상에 해당하는지에 대한 명확한 기준이 부족합니다.  
■ 섹션 3️⃣  【추가 확인 사항】  
해당 특약에서 ‘운전’의 법적 정의(도로교통법 제2조)와의 일치 여부, 특히 전동킥보드를 ‘시동을 걸지 않고 끌어내는 행위’가 ‘운전’에 포함되는지에 대한 보험사 내부 해석 기준이 필요합니다.  
■ 섹션 4️⃣  【권장 조치】  
피보험자가 전동킥보드를 사용하는 경우, 특약의 면책 범위에 포함될 수 있음을 사전에 고지하고, 보험가입 시 ‘개인형 이동장치 사용 여부’를 별도로 확인하는 절차를 도입할 것을 권장합니다.  
[출처: 약관, 제2조(보험금을 지급하지 않는 사유), p.88-89]  
[출처: 상담사례집, 제2절 무보험자동차에 의한 상해, p.317]  
[출처: 자사_SOL건강, 제2조(보험금을 지급하지 않는 사유), p.348]  
[출처: 자사_SOL운전자, 제2조(보험금을 지급하지 않는 사유), p.171-172]
[출처: 자사_SOL건강, 제7관 분쟁조정 등 / 제2조(보험금을 지급하지 않는 사유), p.348] [출처: 자사_SOL운전자, 제7관 분쟁조정 등 / 제2조(보험금을 지급하지 않는 사유), p.171-172] [출처: 약관, 제12관 재가입에 관한 사항 등 / 제2조(보험금을 지급하지 않는 사유), p.88-89]</t>
        </is>
      </c>
      <c r="I76" s="11" t="str"/>
      <c r="J76" s="11" t="n">
        <v>5</v>
      </c>
      <c r="K76" s="11" t="str"/>
      <c r="L76" s="11" t="str"/>
    </row>
    <row r="77" ht="554.4000244140625" customHeight="1">
      <c r="A77" s="11" t="n">
        <v>76</v>
      </c>
      <c r="B77" s="11" t="inlineStr">
        <is>
          <t>additional56</t>
        </is>
      </c>
      <c r="C77" s="11" t="n">
        <v>56</v>
      </c>
      <c r="D77" s="11" t="inlineStr">
        <is>
          <t>new_20260702_056</t>
        </is>
      </c>
      <c r="E77" s="11" t="inlineStr">
        <is>
          <t>제도성 특별약관</t>
        </is>
      </c>
      <c r="F77" s="11" t="inlineStr">
        <is>
          <t>상황형</t>
        </is>
      </c>
      <c r="G77" s="11" t="inlineStr">
        <is>
          <t>보험가입자가 직업상 이륜자동차를 계속적으로 사용하기 시작했는데 이를 알리지 않았다. 이륜자동차 관련 부담보 특약과 계약 후 알릴의무를 구분해 안내해줘.</t>
        </is>
      </c>
      <c r="H77" s="11" t="inlineStr">
        <is>
          <t>■ 섹션 1️⃣  【확정 근거】  
보험가입자가 직업상 이륜자동차를 계속적으로 사용하기 시작했으나 이를 보험사에 알리지 않은 경우, 이는 **계약 후 알릴 의무** 위반에 해당합니다.  
- **이륜자동차 부담보 특약**은 피보험자가 이륜자동차를 직업, 직무 또는 동호회 활동 등으로 **주기적으로 운전**하는 경우에 부가되는 특약으로, 이는 **보장 범위를 확대**하는 조건입니다. 그러나 이 특약이 부가되지 않은 상태에서 이륜차를 직업적으로 사용하면, 보험사가 사고 발생 시 ‘계약전 알릴 의무’ 위반을 주장할 수 있으며, 이는 계약 해지 또는 보험금 지급 거절의 사유가 될 수 있습니다.  
- 반면, **계약 후 알릴 의무**(약관 제15조)는 보험계약 체결 후 피보험자의 직업 또는 이륜자동차 운행 목적에 **변경이 발생**한 경우, 이를 지체 없이 보험사에 통보해야 하는 의무입니다. 직업상 이륜차 사용을 시작한 경우는 이 조항에 명시된 “피보험자의 이륜자동차 운행목적이 변경된 경우”에 해당하므로, 통보 의무가 발생합니다.  
- 이 의무를 위반할 경우, 보험사는 계약 해지 또는 보험금 지급을 거절할 수 있으며, 특히 사고 발생과 관련성이 인정되면 상법 제655조에 따라 보험금 지급이 불가능해질 수 있습니다.  
■ 섹션 2️⃣  【검토 필요 사항】  
⚠️ 컨텍스트 3, 4, 5, 6에서 “계약 후 알릴 의무” 항목은 “이륜자동차 운행목적이 변경된 경우”를 명시했으나, 구체적인 예시가 불완전하게 잘려 있습니다(예: “예) 가정용 및 기…”). 이로 인해 “직업적 사용 시작”이 명시적으로 포함되는지에 대한 해석에 약간의 모호함이 존재합니다.  
→ 원본(v1) 대응 컨텍스트에서 “운행목적 변경”의 예시가 완전히 확인되지 않아, 직업적 사용 시작이 반드시 통보 대상인지에 대한 **문자적 확정**이 불가합니다. 다만, 상담사례집 p.289의 검토 의견에서 “직업으로 이륜차를 주기적으로 운전하는 경우 특약 부가 필요”라고 명시되어 있어, **직업적 사용 시작은 운행목적 변경으로 해석**하는 것이 타당합니다.  
■ 섹션 3️⃣  【추가 확인 사항】  
해당 보험사의 약관에서 “운행목적 변경”의 구체적 예시(예: 가정용 → 직업용)가 명시된 보정본(v2) 문서가 추가로 존재하는지 확인이 필요합니다. 현재 컨텍스트에서는 “예) 가정용 및 기…”로 문장이 끊겨 있어, **직업적 사용이 명시적 예시로 포함되었는지**를 정확히 판단할 수 없습니다.  
■ 섹션 4️⃣  【권장 조치】  
- 피보험자는 직업상 이륜자동차 사용을 시작한 즉시, 보험사에 **계약 후 알릴 의무**에 따라 서면 또는 전화로 통보해야 합니다.  
- 통보하지 않은 경우, 향후 사고 발생 시 보험금 지급이 거절될 수 있으므로, **이륜자동차 부담보 특약을 추가로 가입**하여 보장 범위를 확보하는 것이 안전합니다.  
- 이미 특약이 부가된 상태라면, 직업적 사용이 특약의 보장 대상인지(예: 직업용 운전이 면책 대상인지)를 다시 확인해야 합니다. 컨텍스트 7에 따르면, 직업적 사용은 **면책 사유**가 될 수 있으므로, 특약의 보장 범위와 면책 조건을 정확히 이해해야 합니다.  
[출처: 상담사례집, 제2절 무보험자동차에 의한 상해, p.289 / 상담사례집, p.117 / 자사_SOL건강, 제7관 제2조, p.348]
[출처: 상담사례집, 제2절 무보험자동차에 의한 상해, p.290] [출처: 상담사례집, p.117] [출처: 상담사례집, 제2절 무보험자동차에 의한 상해, p.289]</t>
        </is>
      </c>
      <c r="I77" s="11" t="str"/>
      <c r="J77" s="11" t="n">
        <v>5</v>
      </c>
      <c r="K77" s="11" t="str"/>
      <c r="L77" s="11" t="str"/>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9"/>
  <sheetViews>
    <sheetView showGridLines="0" workbookViewId="0">
      <selection activeCell="A1" sqref="A1"/>
    </sheetView>
  </sheetViews>
  <sheetFormatPr baseColWidth="8" defaultRowHeight="15"/>
  <cols>
    <col width="24" customWidth="1" min="1" max="1"/>
    <col width="24" customWidth="1" min="2" max="2"/>
    <col width="58" customWidth="1" min="3" max="3"/>
    <col width="58" customWidth="1" min="4" max="4"/>
    <col width="58" customWidth="1" min="5" max="5"/>
    <col width="58" customWidth="1" min="6" max="6"/>
    <col width="58" customWidth="1" min="7" max="7"/>
    <col width="24" customWidth="1" min="8" max="8"/>
    <col width="24" customWidth="1" min="9" max="9"/>
    <col width="42" customWidth="1" min="10" max="10"/>
  </cols>
  <sheetData>
    <row r="1" ht="15" customHeight="1">
      <c r="A1" s="8" t="inlineStr">
        <is>
          <t>시나리오</t>
        </is>
      </c>
      <c r="B1" s="8" t="inlineStr">
        <is>
          <t>우선순위</t>
        </is>
      </c>
      <c r="C1" s="8" t="inlineStr">
        <is>
          <t>1차 질문/행동</t>
        </is>
      </c>
      <c r="D1" s="8" t="inlineStr">
        <is>
          <t>2차 후속</t>
        </is>
      </c>
      <c r="E1" s="8" t="inlineStr">
        <is>
          <t>3차 후속</t>
        </is>
      </c>
      <c r="F1" s="8" t="inlineStr">
        <is>
          <t>기대 동작</t>
        </is>
      </c>
      <c r="G1" s="8" t="inlineStr">
        <is>
          <t>실제 결과</t>
        </is>
      </c>
      <c r="H1" s="8" t="inlineStr">
        <is>
          <t>판정</t>
        </is>
      </c>
      <c r="I1" s="8" t="inlineStr">
        <is>
          <t>결함 ID</t>
        </is>
      </c>
      <c r="J1" s="8" t="inlineStr">
        <is>
          <t>메모</t>
        </is>
      </c>
    </row>
    <row r="2" ht="15" customHeight="1">
      <c r="A2" s="11" t="inlineStr">
        <is>
          <t>C01 질병성 탈모 후속</t>
        </is>
      </c>
      <c r="B2" s="11" t="inlineStr">
        <is>
          <t>P0</t>
        </is>
      </c>
      <c r="C2" s="11" t="inlineStr">
        <is>
          <t>탈모도 보상 가능한가요?</t>
        </is>
      </c>
      <c r="D2" s="11" t="inlineStr">
        <is>
          <t>의사 진단을 받은 질병성 탈모입니다.</t>
        </is>
      </c>
      <c r="E2" s="11" t="inlineStr">
        <is>
          <t>진단코드는 L63입니다.</t>
        </is>
      </c>
      <c r="F2" s="11" t="inlineStr">
        <is>
          <t>후속 사실을 반영하고 노화성 탈모 질문을 반복하지 않으며 근거 부족 시 조건부 안내</t>
        </is>
      </c>
      <c r="G2" s="11" t="str"/>
      <c r="H2" s="11" t="inlineStr">
        <is>
          <t>미실행</t>
        </is>
      </c>
      <c r="I2" s="11" t="str"/>
      <c r="J2" s="11" t="inlineStr">
        <is>
          <t>거절된 탈모 온톨로지 없이도 대화 상태가 갱신되어야 함</t>
        </is>
      </c>
    </row>
    <row r="3" ht="15" customHeight="1">
      <c r="A3" s="11" t="inlineStr">
        <is>
          <t>C02 계산→일반 질의</t>
        </is>
      </c>
      <c r="B3" s="11" t="inlineStr">
        <is>
          <t>P0</t>
        </is>
      </c>
      <c r="C3" s="11" t="inlineStr">
        <is>
          <t>보험금 계산에서 도수치료 후보 MX122 선택</t>
        </is>
      </c>
      <c r="D3" s="11" t="inlineStr">
        <is>
          <t>이 계산에 적용된 공제 기준은 무엇인가요?</t>
        </is>
      </c>
      <c r="E3" s="11" t="inlineStr">
        <is>
          <t>같은 스레드의 계산 조건을 요약해줘.</t>
        </is>
      </c>
      <c r="F3" s="11" t="inlineStr">
        <is>
          <t>MX122 계산 결과와 일반 질의가 같은 스레드 문맥으로 이어짐</t>
        </is>
      </c>
      <c r="G3" s="11" t="str"/>
      <c r="H3" s="11" t="inlineStr">
        <is>
          <t>미실행</t>
        </is>
      </c>
      <c r="I3" s="11" t="str"/>
      <c r="J3" s="11" t="inlineStr">
        <is>
          <t>활성 계산 규칙은 기존값 유지</t>
        </is>
      </c>
    </row>
    <row r="4" ht="15" customHeight="1">
      <c r="A4" s="11" t="inlineStr">
        <is>
          <t>C03 청구서류 구체화</t>
        </is>
      </c>
      <c r="B4" s="11" t="inlineStr">
        <is>
          <t>P0</t>
        </is>
      </c>
      <c r="C4" s="11" t="inlineStr">
        <is>
          <t>보험금 청구서류가 뭐예요?</t>
        </is>
      </c>
      <c r="D4" s="11" t="inlineStr">
        <is>
          <t>통원이고 진단서가 있습니다.</t>
        </is>
      </c>
      <c r="E4" s="11" t="inlineStr">
        <is>
          <t>추가로 필요한 서류만 알려줘.</t>
        </is>
      </c>
      <c r="F4" s="11" t="inlineStr">
        <is>
          <t>이미 제공한 통원/진단서 정보를 재질문하지 않고 필요한 서류만 보완</t>
        </is>
      </c>
      <c r="G4" s="11" t="str"/>
      <c r="H4" s="11" t="inlineStr">
        <is>
          <t>미실행</t>
        </is>
      </c>
      <c r="I4" s="11" t="str"/>
      <c r="J4" s="11" t="inlineStr">
        <is>
          <t>evidence.claim_document_requirements</t>
        </is>
      </c>
    </row>
    <row r="5" ht="15" customHeight="1">
      <c r="A5" s="11" t="inlineStr">
        <is>
          <t>C04 5세대 출처 권위</t>
        </is>
      </c>
      <c r="B5" s="11" t="inlineStr">
        <is>
          <t>P0</t>
        </is>
      </c>
      <c r="C5" s="11" t="inlineStr">
        <is>
          <t>5세대 실손에서 탈모 치료 기준을 알려줘.</t>
        </is>
      </c>
      <c r="D5" s="11" t="inlineStr">
        <is>
          <t>그 근거는 자사 상품 약관인가요?</t>
        </is>
      </c>
      <c r="E5" s="11" t="inlineStr">
        <is>
          <t>표준약관과 자사 약관을 구분해줘.</t>
        </is>
      </c>
      <c r="F5" s="11" t="inlineStr">
        <is>
          <t>등록된 문서 유형을 정확히 식별하고 표준약관을 자사약관으로 표현하지 않음</t>
        </is>
      </c>
      <c r="G5" s="11" t="str"/>
      <c r="H5" s="11" t="inlineStr">
        <is>
          <t>미실행</t>
        </is>
      </c>
      <c r="I5" s="11" t="str"/>
      <c r="J5" s="11" t="inlineStr">
        <is>
          <t>거절된 source-authority 통합 개념 재유입 금지</t>
        </is>
      </c>
    </row>
    <row r="6" ht="15" customHeight="1">
      <c r="A6" s="11" t="inlineStr">
        <is>
          <t>C05 치과 세대 구분</t>
        </is>
      </c>
      <c r="B6" s="11" t="inlineStr">
        <is>
          <t>P0</t>
        </is>
      </c>
      <c r="C6" s="11" t="inlineStr">
        <is>
          <t>K00-K08 치료는 보상되나요?</t>
        </is>
      </c>
      <c r="D6" s="11" t="inlineStr">
        <is>
          <t>4세대 실손이고 급여 통원입니다.</t>
        </is>
      </c>
      <c r="E6" s="11" t="inlineStr">
        <is>
          <t>비급여라면 어떻게 달라지나요?</t>
        </is>
      </c>
      <c r="F6" s="11" t="inlineStr">
        <is>
          <t>4세대 급여/비급여와 방문유형을 반영하여 답변 갱신</t>
        </is>
      </c>
      <c r="G6" s="11" t="str"/>
      <c r="H6" s="11" t="inlineStr">
        <is>
          <t>미실행</t>
        </is>
      </c>
      <c r="I6" s="11" t="str"/>
      <c r="J6" s="11" t="inlineStr">
        <is>
          <t>cond.dental_treatment_classification</t>
        </is>
      </c>
    </row>
    <row r="7" ht="15" customHeight="1">
      <c r="A7" s="11" t="inlineStr">
        <is>
          <t>C06 외국 의료기관</t>
        </is>
      </c>
      <c r="B7" s="11" t="inlineStr">
        <is>
          <t>P1</t>
        </is>
      </c>
      <c r="C7" s="11" t="inlineStr">
        <is>
          <t>외국 병원 치료비도 실손 보상되나요?</t>
        </is>
      </c>
      <c r="D7" s="11" t="inlineStr">
        <is>
          <t>일반 국내 실손만 가입했습니다.</t>
        </is>
      </c>
      <c r="E7" s="11" t="inlineStr">
        <is>
          <t>해외여행보험은 없습니다.</t>
        </is>
      </c>
      <c r="F7" s="11" t="inlineStr">
        <is>
          <t>일반 실손과 해외여행 실손을 구분하고 예외를 과장하지 않음</t>
        </is>
      </c>
      <c r="G7" s="11" t="str"/>
      <c r="H7" s="11" t="inlineStr">
        <is>
          <t>미실행</t>
        </is>
      </c>
      <c r="I7" s="11" t="str"/>
      <c r="J7" s="11" t="inlineStr">
        <is>
          <t>cond.foreign_medical_institution</t>
        </is>
      </c>
    </row>
    <row r="8" ht="15" customHeight="1">
      <c r="A8" s="11" t="inlineStr">
        <is>
          <t>C07 무사고 할인 구분</t>
        </is>
      </c>
      <c r="B8" s="11" t="inlineStr">
        <is>
          <t>P1</t>
        </is>
      </c>
      <c r="C8" s="11" t="inlineStr">
        <is>
          <t>직전 2년 무청구면 보험료 할인이 되나요?</t>
        </is>
      </c>
      <c r="D8" s="11" t="inlineStr">
        <is>
          <t>비급여 보험료 차등제와 같은 제도인가요?</t>
        </is>
      </c>
      <c r="E8" s="11" t="inlineStr">
        <is>
          <t>차이만 정리해줘.</t>
        </is>
      </c>
      <c r="F8" s="11" t="inlineStr">
        <is>
          <t>무사고/무청구 할인과 비급여 보험료 차등제를 별개 제도로 설명</t>
        </is>
      </c>
      <c r="G8" s="11" t="str"/>
      <c r="H8" s="11" t="inlineStr">
        <is>
          <t>미실행</t>
        </is>
      </c>
      <c r="I8" s="11" t="str"/>
      <c r="J8" s="11" t="inlineStr">
        <is>
          <t>cond.nonclaim_history_discount 부분 승인 경계</t>
        </is>
      </c>
    </row>
    <row r="9" ht="15" customHeight="1">
      <c r="A9" s="11" t="inlineStr">
        <is>
          <t>C08 MRI 세대 전환</t>
        </is>
      </c>
      <c r="B9" s="11" t="inlineStr">
        <is>
          <t>P0</t>
        </is>
      </c>
      <c r="C9" s="11" t="inlineStr">
        <is>
          <t>4세대 MRI 연간 한도는?</t>
        </is>
      </c>
      <c r="D9" s="11" t="inlineStr">
        <is>
          <t>5세대로 바꾸면 특약별 기준은?</t>
        </is>
      </c>
      <c r="E9" s="11" t="inlineStr">
        <is>
          <t>두 답변의 출처를 각각 보여줘.</t>
        </is>
      </c>
      <c r="F9" s="11" t="inlineStr">
        <is>
          <t>세대 전환을 반영하고 4세대·5세대 근거를 혼합하지 않음</t>
        </is>
      </c>
      <c r="G9" s="11" t="str"/>
      <c r="H9" s="11" t="inlineStr">
        <is>
          <t>미실행</t>
        </is>
      </c>
      <c r="I9" s="11" t="str"/>
      <c r="J9" s="11" t="inlineStr">
        <is>
          <t>출처 권위/세대 경계</t>
        </is>
      </c>
    </row>
  </sheetData>
  <dataValidations count="1">
    <dataValidation sqref="H2:H9" showDropDown="0" showInputMessage="0" showErrorMessage="0" allowBlank="0" type="list">
      <formula1>"미실행,PASS,CONDITIONAL,FAIL,BLOCKED"</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11"/>
  <sheetViews>
    <sheetView showGridLines="0" workbookViewId="0">
      <selection activeCell="A1" sqref="A1"/>
    </sheetView>
  </sheetViews>
  <sheetFormatPr baseColWidth="8" defaultRowHeight="15"/>
  <cols>
    <col width="24" customWidth="1" min="1" max="1"/>
    <col width="44" customWidth="1" min="2" max="2"/>
    <col width="58" customWidth="1" min="3" max="3"/>
    <col width="58" customWidth="1" min="4" max="4"/>
    <col width="58" customWidth="1" min="5" max="5"/>
    <col width="58" customWidth="1" min="6" max="6"/>
    <col width="24" customWidth="1" min="7" max="7"/>
    <col width="42" customWidth="1" min="8" max="8"/>
  </cols>
  <sheetData>
    <row r="1" ht="15" customHeight="1">
      <c r="A1" s="8" t="inlineStr">
        <is>
          <t>판정</t>
        </is>
      </c>
      <c r="B1" s="8" t="inlineStr">
        <is>
          <t>개념 ID</t>
        </is>
      </c>
      <c r="C1" s="8" t="inlineStr">
        <is>
          <t>허용/금지 표현</t>
        </is>
      </c>
      <c r="D1" s="8" t="inlineStr">
        <is>
          <t>Graph 기대</t>
        </is>
      </c>
      <c r="E1" s="8" t="inlineStr">
        <is>
          <t>검색 기대</t>
        </is>
      </c>
      <c r="F1" s="8" t="inlineStr">
        <is>
          <t>실제 확인</t>
        </is>
      </c>
      <c r="G1" s="8" t="inlineStr">
        <is>
          <t>판정</t>
        </is>
      </c>
      <c r="H1" s="8" t="inlineStr">
        <is>
          <t>메모</t>
        </is>
      </c>
    </row>
    <row r="2" ht="15" customHeight="1">
      <c r="A2" s="11" t="inlineStr">
        <is>
          <t>승인</t>
        </is>
      </c>
      <c r="B2" s="11" t="inlineStr">
        <is>
          <t>evidence.claim_document_requirements</t>
        </is>
      </c>
      <c r="C2" s="11" t="inlineStr">
        <is>
          <t>보험금 청구 서류 / 청구 구비서류 / 추가 청구서류</t>
        </is>
      </c>
      <c r="D2" s="11" t="inlineStr">
        <is>
          <t>노드와 정확한 3개 alias 존재</t>
        </is>
      </c>
      <c r="E2" s="11" t="inlineStr">
        <is>
          <t>청구서류 질의 보강</t>
        </is>
      </c>
      <c r="F2" s="11" t="str"/>
      <c r="G2" s="11" t="inlineStr">
        <is>
          <t>미실행</t>
        </is>
      </c>
      <c r="H2" s="11" t="str"/>
    </row>
    <row r="3" ht="15" customHeight="1">
      <c r="A3" s="11" t="inlineStr">
        <is>
          <t>승인</t>
        </is>
      </c>
      <c r="B3" s="11" t="inlineStr">
        <is>
          <t>cond.claim_payment_timeline</t>
        </is>
      </c>
      <c r="C3" s="11" t="inlineStr">
        <is>
          <t>보험금 지급기일 / 보험금 지급 지연 사유 / 지급예정일</t>
        </is>
      </c>
      <c r="D3" s="11" t="inlineStr">
        <is>
          <t>노드와 정확한 3개 alias 존재</t>
        </is>
      </c>
      <c r="E3" s="11" t="inlineStr">
        <is>
          <t>지급 절차 질의 보강</t>
        </is>
      </c>
      <c r="F3" s="11" t="str"/>
      <c r="G3" s="11" t="inlineStr">
        <is>
          <t>미실행</t>
        </is>
      </c>
      <c r="H3" s="11" t="str"/>
    </row>
    <row r="4" ht="15" customHeight="1">
      <c r="A4" s="11" t="inlineStr">
        <is>
          <t>승인</t>
        </is>
      </c>
      <c r="B4" s="11" t="inlineStr">
        <is>
          <t>cond.korean_medicine_treatment_context</t>
        </is>
      </c>
      <c r="C4" s="11" t="inlineStr">
        <is>
          <t>한방 치료 / 한의원 진료 / 한방 의료기관</t>
        </is>
      </c>
      <c r="D4" s="11" t="inlineStr">
        <is>
          <t>노드와 정확한 3개 alias 존재</t>
        </is>
      </c>
      <c r="E4" s="11" t="inlineStr">
        <is>
          <t>치료 주체/급여 구분 확인</t>
        </is>
      </c>
      <c r="F4" s="11" t="str"/>
      <c r="G4" s="11" t="inlineStr">
        <is>
          <t>미실행</t>
        </is>
      </c>
      <c r="H4" s="11" t="str"/>
    </row>
    <row r="5" ht="15" customHeight="1">
      <c r="A5" s="11" t="inlineStr">
        <is>
          <t>승인</t>
        </is>
      </c>
      <c r="B5" s="11" t="inlineStr">
        <is>
          <t>cond.dental_treatment_classification</t>
        </is>
      </c>
      <c r="C5" s="11" t="inlineStr">
        <is>
          <t>치과 치료 / 치과 질환 / 치아 질환; K00-K08은 evidence metadata이며 alias가 아님</t>
        </is>
      </c>
      <c r="D5" s="11" t="inlineStr">
        <is>
          <t>노드와 정확한 3개 alias 존재; K00-K08 alias 부재</t>
        </is>
      </c>
      <c r="E5" s="11" t="inlineStr">
        <is>
          <t>급여/비급여·세대 확인</t>
        </is>
      </c>
      <c r="F5" s="11" t="str"/>
      <c r="G5" s="11" t="inlineStr">
        <is>
          <t>미실행</t>
        </is>
      </c>
      <c r="H5" s="11" t="str"/>
    </row>
    <row r="6" ht="15" customHeight="1">
      <c r="A6" s="11" t="inlineStr">
        <is>
          <t>승인</t>
        </is>
      </c>
      <c r="B6" s="11" t="inlineStr">
        <is>
          <t>cond.foreign_medical_institution</t>
        </is>
      </c>
      <c r="C6" s="11" t="inlineStr">
        <is>
          <t>해외 의료기관 / 해외 진료 / 외국 의료기관</t>
        </is>
      </c>
      <c r="D6" s="11" t="inlineStr">
        <is>
          <t>노드와 정확한 3개 alias 존재</t>
        </is>
      </c>
      <c r="E6" s="11" t="inlineStr">
        <is>
          <t>보험 유형 구분</t>
        </is>
      </c>
      <c r="F6" s="11" t="str"/>
      <c r="G6" s="11" t="inlineStr">
        <is>
          <t>미실행</t>
        </is>
      </c>
      <c r="H6" s="11" t="str"/>
    </row>
    <row r="7" ht="15" customHeight="1">
      <c r="A7" s="11" t="inlineStr">
        <is>
          <t>부분 승인</t>
        </is>
      </c>
      <c r="B7" s="11" t="inlineStr">
        <is>
          <t>cond.nonclaim_history_discount</t>
        </is>
      </c>
      <c r="C7" s="11" t="inlineStr">
        <is>
          <t>허용: 무사고 할인 / 무청구 할인</t>
        </is>
      </c>
      <c r="D7" s="11" t="inlineStr">
        <is>
          <t>노드와 정확한 2개 alias만 존재</t>
        </is>
      </c>
      <c r="E7" s="11" t="inlineStr">
        <is>
          <t>별도 제도와 혼합 금지</t>
        </is>
      </c>
      <c r="F7" s="11" t="str"/>
      <c r="G7" s="11" t="inlineStr">
        <is>
          <t>미실행</t>
        </is>
      </c>
      <c r="H7" s="11" t="str"/>
    </row>
    <row r="8" ht="15" customHeight="1">
      <c r="A8" s="11" t="inlineStr">
        <is>
          <t>거절</t>
        </is>
      </c>
      <c r="B8" s="11" t="inlineStr">
        <is>
          <t>cond.policy_source_authority</t>
        </is>
      </c>
      <c r="C8" s="11" t="inlineStr">
        <is>
          <t>금지: 자사 상품 약관/표준약관/실손 세대를 단일 expansion으로 통합</t>
        </is>
      </c>
      <c r="D8" s="11" t="inlineStr">
        <is>
          <t>노드/alias 부재</t>
        </is>
      </c>
      <c r="E8" s="11" t="inlineStr">
        <is>
          <t>기존 출처 권위 로직 사용</t>
        </is>
      </c>
      <c r="F8" s="11" t="str"/>
      <c r="G8" s="11" t="inlineStr">
        <is>
          <t>미실행</t>
        </is>
      </c>
      <c r="H8" s="11" t="str"/>
    </row>
    <row r="9" ht="15" customHeight="1">
      <c r="A9" s="11" t="inlineStr">
        <is>
          <t>거절</t>
        </is>
      </c>
      <c r="B9" s="11" t="inlineStr">
        <is>
          <t>cond.nonclaim_history_discount</t>
        </is>
      </c>
      <c r="C9" s="11" t="inlineStr">
        <is>
          <t>금지: 비급여 보험료 차등제</t>
        </is>
      </c>
      <c r="D9" s="11" t="inlineStr">
        <is>
          <t>alias/검색어 부재</t>
        </is>
      </c>
      <c r="E9" s="11" t="inlineStr">
        <is>
          <t>무사고 할인과 동일 개념으로 확장 금지</t>
        </is>
      </c>
      <c r="F9" s="11" t="str"/>
      <c r="G9" s="11" t="inlineStr">
        <is>
          <t>미실행</t>
        </is>
      </c>
      <c r="H9" s="11" t="str"/>
    </row>
    <row r="10" ht="15" customHeight="1">
      <c r="A10" s="11" t="inlineStr">
        <is>
          <t>거절</t>
        </is>
      </c>
      <c r="B10" s="11" t="inlineStr">
        <is>
          <t>hair/provenance 6개</t>
        </is>
      </c>
      <c r="C10" s="11" t="inlineStr">
        <is>
          <t>cov.hair_loss 외 5개</t>
        </is>
      </c>
      <c r="D10" s="11" t="inlineStr">
        <is>
          <t>노드/alias 부재</t>
        </is>
      </c>
      <c r="E10" s="11" t="inlineStr">
        <is>
          <t>raw fallback 금지</t>
        </is>
      </c>
      <c r="F10" s="11" t="str"/>
      <c r="G10" s="11" t="inlineStr">
        <is>
          <t>미실행</t>
        </is>
      </c>
      <c r="H10" s="11" t="str"/>
    </row>
    <row r="11" ht="15" customHeight="1">
      <c r="A11" s="11" t="inlineStr">
        <is>
          <t>거절</t>
        </is>
      </c>
      <c r="B11" s="11" t="inlineStr">
        <is>
          <t>legacy held 3개</t>
        </is>
      </c>
      <c r="C11" s="11" t="inlineStr">
        <is>
          <t>indemnity_medical, motorcycle_riding, superior_room_difference 후보</t>
        </is>
      </c>
      <c r="D11" s="11" t="inlineStr">
        <is>
          <t>노드/alias 부재</t>
        </is>
      </c>
      <c r="E11" s="11" t="inlineStr">
        <is>
          <t>감사 기록만 유지</t>
        </is>
      </c>
      <c r="F11" s="11" t="str"/>
      <c r="G11" s="11" t="inlineStr">
        <is>
          <t>미실행</t>
        </is>
      </c>
      <c r="H11" s="11" t="str"/>
    </row>
  </sheetData>
  <dataValidations count="1">
    <dataValidation sqref="G2:G11" showDropDown="0" showInputMessage="0" showErrorMessage="0" allowBlank="0" type="list">
      <formula1>"미실행,PASS,FAIL,BLOCKED"</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21"/>
  <sheetViews>
    <sheetView showGridLines="0" workbookViewId="0">
      <selection activeCell="A1" sqref="A1"/>
    </sheetView>
  </sheetViews>
  <sheetFormatPr baseColWidth="8" defaultRowHeight="15"/>
  <cols>
    <col width="22" customWidth="1" min="1" max="1"/>
    <col width="62" customWidth="1" min="2" max="2"/>
    <col width="22" customWidth="1" min="3" max="3"/>
    <col width="22" customWidth="1" min="4" max="4"/>
    <col width="22" customWidth="1" min="5" max="5"/>
    <col width="22" customWidth="1" min="6" max="6"/>
    <col width="22" customWidth="1" min="7" max="7"/>
    <col width="22" customWidth="1" min="8" max="8"/>
  </cols>
  <sheetData>
    <row r="1" ht="16.79999923706055" customHeight="1">
      <c r="A1" s="3" t="inlineStr">
        <is>
          <t>v1.2.0 실무자 UAT 대시보드</t>
        </is>
      </c>
    </row>
    <row r="3" ht="15" customHeight="1">
      <c r="A3" s="15" t="inlineStr">
        <is>
          <t>운영 구현 기준 커밋</t>
        </is>
      </c>
      <c r="B3" s="15" t="inlineStr">
        <is>
          <t>ce078972f9529cbd1a31e344932bfc7f13092339</t>
        </is>
      </c>
      <c r="D3" s="20" t="inlineStr">
        <is>
          <t>PASS</t>
        </is>
      </c>
      <c r="E3" s="20">
        <f>COUNTIF('실행큐_75'!$O$2:$O$76,"PASS")</f>
        <v/>
      </c>
      <c r="F3" s="20" t="inlineStr">
        <is>
          <t>말풍선 평균</t>
        </is>
      </c>
      <c r="G3" s="20">
        <f>IFERROR(AVERAGE('실행큐_75'!$S$2:$S$76),0)</f>
        <v/>
      </c>
      <c r="H3" s="20" t="inlineStr">
        <is>
          <t>기준 4.3+</t>
        </is>
      </c>
    </row>
    <row r="4" ht="15" customHeight="1">
      <c r="A4" s="15" t="inlineStr">
        <is>
          <t>Graph build id</t>
        </is>
      </c>
      <c r="B4" s="15" t="inlineStr">
        <is>
          <t>v1.2.0-general-ontology/2026-07-20T02:06:11.435316</t>
        </is>
      </c>
      <c r="D4" s="20" t="inlineStr">
        <is>
          <t>CONDITIONAL</t>
        </is>
      </c>
      <c r="E4" s="20">
        <f>COUNTIF('실행큐_75'!$O$2:$O$76,"CONDITIONAL")</f>
        <v/>
      </c>
      <c r="F4" s="20" t="inlineStr">
        <is>
          <t>말풍선 1~2점</t>
        </is>
      </c>
      <c r="G4" s="20">
        <f>COUNTIFS('실행큐_75'!$S$2:$S$76,"&gt;=1",'실행큐_75'!$S$2:$S$76,"&lt;=2")</f>
        <v/>
      </c>
      <c r="H4" s="20" t="inlineStr">
        <is>
          <t>기준 0건</t>
        </is>
      </c>
    </row>
    <row r="5" ht="15" customHeight="1">
      <c r="A5" s="15" t="inlineStr">
        <is>
          <t>고유 문항</t>
        </is>
      </c>
      <c r="B5" s="15" t="n">
        <v>64</v>
      </c>
      <c r="D5" s="20" t="inlineStr">
        <is>
          <t>FAIL</t>
        </is>
      </c>
      <c r="E5" s="20">
        <f>COUNTIF('실행큐_75'!$O$2:$O$76,"FAIL")</f>
        <v/>
      </c>
      <c r="F5" s="20" t="inlineStr">
        <is>
          <t>P0 말풍선 미달</t>
        </is>
      </c>
      <c r="G5" s="20">
        <f>COUNTIFS('실행큐_75'!$D$2:$D$76,"P0",'실행큐_75'!$O$2:$O$76,"&lt;&gt;미실행")-COUNTIFS('실행큐_75'!$D$2:$D$76,"P0",'실행큐_75'!$O$2:$O$76,"&lt;&gt;미실행",'실행큐_75'!$S$2:$S$76,"&gt;=4")</f>
        <v/>
      </c>
      <c r="H5" s="20" t="inlineStr">
        <is>
          <t>기준 0건</t>
        </is>
      </c>
    </row>
    <row r="6" ht="15" customHeight="1">
      <c r="A6" s="15" t="inlineStr">
        <is>
          <t>원본 평가 행</t>
        </is>
      </c>
      <c r="B6" s="15" t="n">
        <v>76</v>
      </c>
      <c r="D6" s="20" t="inlineStr">
        <is>
          <t>BLOCKED</t>
        </is>
      </c>
      <c r="E6" s="20">
        <f>COUNTIF('실행큐_75'!$O$2:$O$76,"BLOCKED")</f>
        <v/>
      </c>
      <c r="F6" s="20" t="inlineStr">
        <is>
          <t>실행 후 미평가</t>
        </is>
      </c>
      <c r="G6" s="20">
        <f>COUNTIFS('실행큐_75'!$O$2:$O$76,"&lt;&gt;미실행",'실행큐_75'!$S$2:$S$76,"")</f>
        <v/>
      </c>
      <c r="H6" s="20" t="inlineStr">
        <is>
          <t>기준 0건</t>
        </is>
      </c>
    </row>
    <row r="7" ht="15" customHeight="1">
      <c r="A7" s="15" t="inlineStr">
        <is>
          <t>P0 반복 포함 예정 실행</t>
        </is>
      </c>
      <c r="B7" s="15" t="n">
        <v>75</v>
      </c>
      <c r="D7" s="20" t="inlineStr">
        <is>
          <t>미실행</t>
        </is>
      </c>
      <c r="E7" s="20">
        <f>COUNTIF('실행큐_75'!$O$2:$O$76,"미실행")</f>
        <v/>
      </c>
    </row>
    <row r="8" ht="15" customHeight="1">
      <c r="A8" s="15" t="inlineStr">
        <is>
          <t>대화 연속성</t>
        </is>
      </c>
      <c r="B8" s="15" t="n">
        <v>8</v>
      </c>
      <c r="D8" s="20" t="inlineStr">
        <is>
          <t>평균 점수</t>
        </is>
      </c>
      <c r="E8" s="22">
        <f>IFERROR(AVERAGE('실행큐_75'!$N$2:$N$76),0)</f>
        <v/>
      </c>
    </row>
    <row r="9" ht="15" customHeight="1">
      <c r="A9" s="15" t="inlineStr">
        <is>
          <t>온톨로지 경계</t>
        </is>
      </c>
      <c r="B9" s="15" t="n">
        <v>10</v>
      </c>
      <c r="D9" s="20" t="inlineStr">
        <is>
          <t>1~2점</t>
        </is>
      </c>
      <c r="E9" s="20">
        <f>COUNTIFS('실행큐_75'!$N$2:$N$76,"&gt;=1",'실행큐_75'!$N$2:$N$76,"&lt;=2")</f>
        <v/>
      </c>
    </row>
    <row r="10" ht="15" customHeight="1">
      <c r="A10" s="15" t="inlineStr">
        <is>
          <t>물리 GUI UAT</t>
        </is>
      </c>
      <c r="B10" s="15" t="inlineStr">
        <is>
          <t>보류(남은 작업)</t>
        </is>
      </c>
      <c r="D10" s="20" t="inlineStr">
        <is>
          <t>P0 미통과</t>
        </is>
      </c>
      <c r="E10" s="20">
        <f>COUNTIF('실행큐_75'!$D$2:$D$76,"P0")-COUNTIFS('실행큐_75'!$D$2:$D$76,"P0",'실행큐_75'!$O$2:$O$76,"PASS",'실행큐_75'!$N$2:$N$76,"&gt;=4")</f>
        <v/>
      </c>
    </row>
    <row r="11" ht="15" customHeight="1">
      <c r="D11" s="20" t="inlineStr">
        <is>
          <t>연속성 미통과</t>
        </is>
      </c>
      <c r="E11" s="20">
        <f>8-COUNTIF('대화_연속성'!$H$2:$H$9,"PASS")</f>
        <v/>
      </c>
    </row>
    <row r="12" ht="15" customHeight="1">
      <c r="D12" s="20" t="inlineStr">
        <is>
          <t>경계 미통과</t>
        </is>
      </c>
      <c r="E12" s="20">
        <f>10-COUNTIF('온톨로지_경계'!$G$2:$G$11,"PASS")</f>
        <v/>
      </c>
    </row>
    <row r="13" ht="15" customHeight="1">
      <c r="D13" s="20" t="inlineStr">
        <is>
          <t>릴리스 판정</t>
        </is>
      </c>
      <c r="E13" s="20">
        <f>IF(OR(E5&gt;0,E6&gt;0,E9&gt;0,G4&gt;0,G5&gt;0),"불통과",IF(OR(E7&gt;0,E10&gt;0,E11&gt;0,E12&gt;0,G6&gt;0),"진행중",IF(OR(E8&lt;4.3,G3&lt;4.3),"불통과","통과")))</f>
        <v/>
      </c>
    </row>
    <row r="15" ht="15" customHeight="1">
      <c r="A15" s="8" t="inlineStr">
        <is>
          <t>실행 순서</t>
        </is>
      </c>
      <c r="B15" s="8" t="inlineStr">
        <is>
          <t>1</t>
        </is>
      </c>
      <c r="C15" s="8" t="inlineStr">
        <is>
          <t>릴리스 지문</t>
        </is>
      </c>
      <c r="D15" s="8" t="inlineStr">
        <is>
          <t>2</t>
        </is>
      </c>
      <c r="E15" s="8" t="inlineStr">
        <is>
          <t>P0 게이트</t>
        </is>
      </c>
      <c r="F15" s="8" t="inlineStr">
        <is>
          <t>3</t>
        </is>
      </c>
      <c r="G15" s="8" t="inlineStr">
        <is>
          <t>나머지+연속성</t>
        </is>
      </c>
      <c r="H15" s="8" t="inlineStr">
        <is>
          <t>4. 최종 판정</t>
        </is>
      </c>
    </row>
    <row r="17" ht="15" customHeight="1">
      <c r="A17" s="11" t="inlineStr">
        <is>
          <t>중단 조건</t>
        </is>
      </c>
      <c r="B17" s="11" t="inlineStr">
        <is>
          <t>운영 장애</t>
        </is>
      </c>
      <c r="C17" s="11" t="inlineStr">
        <is>
          <t>지급 결론 오답</t>
        </is>
      </c>
      <c r="D17" s="11" t="inlineStr">
        <is>
          <t>출처 권위 혼합</t>
        </is>
      </c>
      <c r="E17" s="11" t="inlineStr">
        <is>
          <t>거절 지식 재유입</t>
        </is>
      </c>
      <c r="F17" s="11" t="inlineStr">
        <is>
          <t>P0 3점↓/말풍선 결함</t>
        </is>
      </c>
      <c r="G17" s="11" t="inlineStr">
        <is>
          <t>운영 계산 hash 변화</t>
        </is>
      </c>
      <c r="H17" s="11" t="inlineStr">
        <is>
          <t>발견 즉시 중단</t>
        </is>
      </c>
    </row>
    <row r="18" ht="15" customHeight="1">
      <c r="A18" s="11" t="inlineStr">
        <is>
          <t>통과 조건</t>
        </is>
      </c>
      <c r="B18" s="11" t="inlineStr">
        <is>
          <t>P0 전건 4점+</t>
        </is>
      </c>
      <c r="C18" s="11" t="inlineStr">
        <is>
          <t>종합 평균 4.3+</t>
        </is>
      </c>
      <c r="D18" s="11" t="inlineStr">
        <is>
          <t>말풍선 평균 4.3+</t>
        </is>
      </c>
      <c r="E18" s="11" t="inlineStr">
        <is>
          <t>양쪽 1~2점 0건</t>
        </is>
      </c>
      <c r="F18" s="11" t="inlineStr">
        <is>
          <t>연속성 8건 PASS</t>
        </is>
      </c>
      <c r="G18" s="11" t="inlineStr">
        <is>
          <t>경계·연속성 PASS</t>
        </is>
      </c>
      <c r="H18" s="11" t="inlineStr">
        <is>
          <t>모두 충족</t>
        </is>
      </c>
    </row>
    <row r="19" ht="15" customHeight="1">
      <c r="A19" s="11" t="inlineStr">
        <is>
          <t>실행 원칙</t>
        </is>
      </c>
      <c r="B19" s="11" t="inlineStr">
        <is>
          <t>신규 채팅</t>
        </is>
      </c>
      <c r="C19" s="11" t="inlineStr">
        <is>
          <t>선택 세대 기록</t>
        </is>
      </c>
      <c r="D19" s="11" t="inlineStr">
        <is>
          <t>최종 말풍선·출처 저장</t>
        </is>
      </c>
      <c r="E19" s="11" t="inlineStr">
        <is>
          <t>P0 2회 반복</t>
        </is>
      </c>
      <c r="F19" s="11" t="inlineStr">
        <is>
          <t>내부 추론 제외</t>
        </is>
      </c>
      <c r="G19" s="11" t="inlineStr">
        <is>
          <t>결함 ID 연결</t>
        </is>
      </c>
      <c r="H19" s="11" t="inlineStr">
        <is>
          <t>원본 보존</t>
        </is>
      </c>
    </row>
    <row r="20" ht="15" customHeight="1">
      <c r="A20" s="11" t="inlineStr">
        <is>
          <t>테스트 주체</t>
        </is>
      </c>
      <c r="B20" s="11" t="inlineStr">
        <is>
          <t>Codex 실무자</t>
        </is>
      </c>
      <c r="C20" s="11" t="inlineStr">
        <is>
          <t>운영 관찰</t>
        </is>
      </c>
      <c r="D20" s="11" t="inlineStr">
        <is>
          <t>평가 기록</t>
        </is>
      </c>
      <c r="E20" s="11" t="inlineStr">
        <is>
          <t>결함 분류</t>
        </is>
      </c>
      <c r="F20" s="11" t="inlineStr">
        <is>
          <t>재현 정리</t>
        </is>
      </c>
      <c r="G20" s="11" t="inlineStr">
        <is>
          <t>사용자 최종 확인</t>
        </is>
      </c>
      <c r="H20" s="11" t="inlineStr">
        <is>
          <t>물리 GUI는 보류</t>
        </is>
      </c>
    </row>
    <row r="21" ht="15" customHeight="1">
      <c r="A21" s="11" t="inlineStr">
        <is>
          <t>다음 단계</t>
        </is>
      </c>
      <c r="B21" s="11" t="inlineStr">
        <is>
          <t>P0 먼저</t>
        </is>
      </c>
      <c r="C21" s="11" t="inlineStr">
        <is>
          <t>PASS 후 전체</t>
        </is>
      </c>
      <c r="D21" s="11" t="inlineStr">
        <is>
          <t>결함 시 Developer</t>
        </is>
      </c>
      <c r="E21" s="11" t="inlineStr">
        <is>
          <t>수정 후 Review</t>
        </is>
      </c>
      <c r="F21" s="11" t="inlineStr">
        <is>
          <t>재테스트</t>
        </is>
      </c>
      <c r="G21" s="11" t="inlineStr">
        <is>
          <t>보고서</t>
        </is>
      </c>
      <c r="H21" s="11" t="inlineStr">
        <is>
          <t>발표판 고정</t>
        </is>
      </c>
    </row>
  </sheetData>
  <mergeCells count="1">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2026-07-20T00:13:42Z</dcterms:created>
  <dcterms:modified xmlns:dcterms="http://purl.org/dc/terms/" xmlns:xsi="http://www.w3.org/2001/XMLSchema-instance" xsi:type="dcterms:W3CDTF">2026-07-20T00:14:14Z</dcterms:modified>
</cp:coreProperties>
</file>